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최종 스펙 요약" sheetId="1" state="visible" r:id="rId1"/>
    <sheet name="진행현황 요약" sheetId="2" state="visible" r:id="rId2"/>
    <sheet name="체크리스트" sheetId="3" state="visible" r:id="rId3"/>
    <sheet name="9단계 검증 체크리스트" sheetId="4" state="visible" r:id="rId4"/>
    <sheet name="일자별 실행리스트(파일위치)" sheetId="5" state="visible" r:id="rId5"/>
    <sheet name="일일 크로스체크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4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4E78"/>
      <sz val="16"/>
    </font>
    <font>
      <name val="Arial"/>
      <charset val="1"/>
      <family val="0"/>
      <b val="1"/>
      <color rgb="FF1F4E78"/>
      <sz val="16"/>
    </font>
    <font>
      <name val="Noto Sans CJK SC"/>
      <family val="2"/>
      <b val="1"/>
      <color rgb="FFFFFFFF"/>
      <sz val="11"/>
    </font>
    <font>
      <name val="Noto Sans CJK SC"/>
      <family val="2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2"/>
    </font>
    <font>
      <name val="Noto Sans CJK SC"/>
      <family val="2"/>
      <b val="1"/>
      <color rgb="FF1F4E78"/>
      <sz val="12"/>
    </font>
    <font>
      <name val="Arial"/>
      <charset val="1"/>
      <family val="0"/>
      <b val="1"/>
      <color rgb="FFFFFFFF"/>
      <sz val="11"/>
    </font>
    <font>
      <name val="Noto Sans CJK SC"/>
      <family val="2"/>
      <sz val="11"/>
    </font>
    <font>
      <name val="Arial"/>
      <charset val="1"/>
      <family val="0"/>
      <sz val="11"/>
    </font>
    <font>
      <name val="Arial"/>
      <charset val="1"/>
      <family val="0"/>
      <sz val="9"/>
    </font>
    <font>
      <name val="Noto Sans CJK SC"/>
      <family val="2"/>
      <b val="1"/>
      <sz val="11"/>
    </font>
    <font>
      <name val="Arial"/>
      <charset val="1"/>
      <family val="0"/>
      <b val="1"/>
      <sz val="9"/>
    </font>
    <font>
      <name val="Arial"/>
      <charset val="1"/>
      <family val="0"/>
      <b val="1"/>
      <sz val="11"/>
    </font>
    <font>
      <name val="Noto Sans CJK SC"/>
      <family val="2"/>
      <color theme="1"/>
      <sz val="11"/>
    </font>
    <font>
      <name val="Noto Sans CJK SC"/>
      <family val="2"/>
      <i val="1"/>
      <color rgb="FFC00000"/>
      <sz val="9"/>
    </font>
    <font>
      <name val="Arial"/>
      <charset val="1"/>
      <family val="0"/>
      <i val="1"/>
      <color rgb="FFC00000"/>
      <sz val="9"/>
    </font>
    <font>
      <name val="Noto Sans CJK SC"/>
      <family val="2"/>
      <i val="1"/>
      <sz val="10"/>
    </font>
    <font>
      <name val="Arial"/>
      <charset val="1"/>
      <family val="0"/>
      <i val="1"/>
      <sz val="10"/>
    </font>
    <font>
      <name val="Noto Sans CJK SC"/>
      <family val="2"/>
      <i val="1"/>
      <color rgb="FF674EA7"/>
      <sz val="10"/>
    </font>
    <font>
      <name val="Arial"/>
      <charset val="1"/>
      <family val="0"/>
      <i val="1"/>
      <color rgb="FF674EA7"/>
      <sz val="10"/>
    </font>
    <font>
      <name val="Arial"/>
      <charset val="1"/>
      <family val="0"/>
      <b val="1"/>
      <sz val="10"/>
    </font>
    <font>
      <name val="Noto Sans CJK SC"/>
      <family val="2"/>
      <b val="1"/>
      <sz val="10"/>
    </font>
    <font>
      <name val="Noto Sans CJK SC"/>
      <family val="2"/>
      <b val="1"/>
      <color rgb="FF1F4E78"/>
      <sz val="14"/>
    </font>
    <font>
      <name val="Noto Sans CJK SC"/>
      <family val="2"/>
      <sz val="9"/>
    </font>
    <font>
      <name val="Arial"/>
      <charset val="1"/>
      <family val="0"/>
      <i val="1"/>
      <color rgb="FF674EA7"/>
      <sz val="9"/>
    </font>
    <font>
      <name val="Noto Sans CJK SC"/>
      <family val="2"/>
      <i val="1"/>
      <color rgb="FF674EA7"/>
      <sz val="9"/>
    </font>
    <font>
      <name val="Arial"/>
      <charset val="1"/>
      <family val="0"/>
      <color rgb="FF000000"/>
      <sz val="9"/>
    </font>
    <font>
      <name val="Noto Sans CJK SC"/>
      <family val="2"/>
      <b val="1"/>
      <color rgb="FFC00000"/>
      <sz val="9"/>
    </font>
    <font>
      <name val="Arial"/>
      <charset val="1"/>
      <family val="0"/>
      <b val="1"/>
      <color rgb="FFC00000"/>
      <sz val="9"/>
    </font>
    <font>
      <name val="Noto Sans CJK SC"/>
      <family val="2"/>
      <b val="1"/>
      <sz val="9"/>
    </font>
    <font>
      <name val="Noto Sans CJK SC"/>
      <family val="2"/>
      <i val="1"/>
      <color rgb="FF666666"/>
      <sz val="9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3"/>
    </font>
    <font>
      <name val="Noto Sans CJK SC"/>
      <family val="2"/>
      <b val="1"/>
      <color rgb="FFFFFFFF"/>
      <sz val="13"/>
    </font>
    <font>
      <name val="Noto Sans CJK SC"/>
      <family val="2"/>
      <b val="1"/>
      <i val="1"/>
      <color rgb="FF1F4E78"/>
      <sz val="10"/>
    </font>
    <font>
      <name val="Arial"/>
      <charset val="1"/>
      <family val="0"/>
      <b val="1"/>
      <i val="1"/>
      <color rgb="FF1F4E78"/>
      <sz val="10"/>
    </font>
    <font>
      <name val="Noto Sans CJK SC"/>
      <family val="2"/>
      <i val="1"/>
      <sz val="9"/>
    </font>
    <font>
      <name val="Arial"/>
      <charset val="1"/>
      <family val="0"/>
      <i val="1"/>
      <sz val="9"/>
    </font>
    <font>
      <b val="1"/>
      <color rgb="FFFFFFFF"/>
      <sz val="13"/>
    </font>
    <font>
      <b val="1"/>
      <color rgb="FF1F4E78"/>
      <sz val="10"/>
    </font>
    <font>
      <b val="1"/>
      <sz val="9"/>
    </font>
    <font>
      <sz val="9"/>
    </font>
  </fonts>
  <fills count="23">
    <fill>
      <patternFill/>
    </fill>
    <fill>
      <patternFill patternType="gray125"/>
    </fill>
    <fill>
      <patternFill patternType="solid">
        <fgColor rgb="FF1F4E78"/>
        <bgColor rgb="FF2E5C8A"/>
      </patternFill>
    </fill>
    <fill>
      <patternFill patternType="solid">
        <fgColor rgb="FFD9E1F2"/>
        <bgColor rgb="FFCFE2F3"/>
      </patternFill>
    </fill>
    <fill>
      <patternFill patternType="solid">
        <fgColor rgb="FFC6EFCE"/>
        <bgColor rgb="FFD9EAD3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4CCCC"/>
      </patternFill>
    </fill>
    <fill>
      <patternFill patternType="solid">
        <fgColor rgb="FFF4CCCC"/>
        <bgColor rgb="FFFFC7CE"/>
      </patternFill>
    </fill>
    <fill>
      <patternFill patternType="solid">
        <fgColor rgb="FFCFE2F3"/>
        <bgColor rgb="FFD9E1F2"/>
      </patternFill>
    </fill>
    <fill>
      <patternFill patternType="solid">
        <fgColor rgb="FFD9D2E9"/>
        <bgColor rgb="FFD9E1F2"/>
      </patternFill>
    </fill>
    <fill>
      <patternFill patternType="solid">
        <fgColor rgb="FFFFF2CC"/>
        <bgColor rgb="FFFFF9E6"/>
      </patternFill>
    </fill>
    <fill>
      <patternFill patternType="solid">
        <fgColor rgb="FFD9EAD3"/>
        <bgColor rgb="FFC6EFCE"/>
      </patternFill>
    </fill>
    <fill>
      <patternFill patternType="solid">
        <fgColor rgb="FF2E5C8A"/>
        <bgColor rgb="FF1F4E78"/>
      </patternFill>
    </fill>
    <fill>
      <patternFill patternType="solid">
        <fgColor rgb="FFF5F8FC"/>
        <bgColor rgb="FFFFFFFF"/>
      </patternFill>
    </fill>
    <fill>
      <patternFill patternType="solid">
        <fgColor rgb="FFE8EEF7"/>
        <bgColor rgb="FFEAF1FB"/>
      </patternFill>
    </fill>
    <fill>
      <patternFill patternType="solid">
        <fgColor rgb="FFEAF1FB"/>
        <bgColor rgb="FFE8EEF7"/>
      </patternFill>
    </fill>
    <fill>
      <patternFill patternType="solid">
        <fgColor rgb="FFFFF9E6"/>
        <bgColor rgb="FFF5F8FC"/>
      </patternFill>
    </fill>
    <fill>
      <patternFill patternType="solid">
        <fgColor rgb="FF2E5C8A"/>
      </patternFill>
    </fill>
    <fill>
      <patternFill patternType="solid">
        <fgColor rgb="FFF5F8FC"/>
      </patternFill>
    </fill>
    <fill>
      <patternFill patternType="solid">
        <fgColor rgb="FFE8EEF7"/>
      </patternFill>
    </fill>
    <fill>
      <patternFill patternType="solid">
        <fgColor rgb="FFEAF1FB"/>
      </patternFill>
    </fill>
    <fill>
      <patternFill patternType="solid">
        <fgColor rgb="FFFFF9E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9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center" vertical="bottom"/>
    </xf>
    <xf numFmtId="9" fontId="17" fillId="3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center" wrapText="1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general" vertical="bottom"/>
    </xf>
    <xf numFmtId="0" fontId="25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29" fillId="0" borderId="1" applyAlignment="1" pivotButton="0" quotePrefix="0" xfId="0">
      <alignment horizontal="left" vertical="top" wrapText="1"/>
    </xf>
    <xf numFmtId="0" fontId="31" fillId="0" borderId="1" applyAlignment="1" pivotButton="0" quotePrefix="0" xfId="0">
      <alignment horizontal="left" vertical="top" wrapText="1"/>
    </xf>
    <xf numFmtId="0" fontId="25" fillId="10" borderId="1" applyAlignment="1" pivotButton="0" quotePrefix="0" xfId="0">
      <alignment horizontal="center" vertical="top" wrapText="1"/>
    </xf>
    <xf numFmtId="0" fontId="32" fillId="0" borderId="1" applyAlignment="1" pivotButton="0" quotePrefix="0" xfId="0">
      <alignment horizontal="left" vertical="top" wrapText="1"/>
    </xf>
    <xf numFmtId="0" fontId="28" fillId="0" borderId="1" applyAlignment="1" pivotButton="0" quotePrefix="0" xfId="0">
      <alignment horizontal="left" vertical="top" wrapText="1"/>
    </xf>
    <xf numFmtId="0" fontId="30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bottom"/>
    </xf>
    <xf numFmtId="0" fontId="34" fillId="11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34" fillId="10" borderId="0" applyAlignment="1" pivotButton="0" quotePrefix="0" xfId="0">
      <alignment horizontal="general" vertical="bottom"/>
    </xf>
    <xf numFmtId="0" fontId="34" fillId="9" borderId="0" applyAlignment="1" pivotButton="0" quotePrefix="0" xfId="0">
      <alignment horizontal="general" vertical="bottom"/>
    </xf>
    <xf numFmtId="0" fontId="34" fillId="8" borderId="0" applyAlignment="1" pivotButton="0" quotePrefix="0" xfId="0">
      <alignment horizontal="general" vertical="bottom"/>
    </xf>
    <xf numFmtId="0" fontId="34" fillId="7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7" fillId="12" borderId="0" applyAlignment="1" pivotButton="0" quotePrefix="0" xfId="0">
      <alignment horizontal="general" vertical="center" indent="1"/>
    </xf>
    <xf numFmtId="0" fontId="39" fillId="13" borderId="0" applyAlignment="1" pivotButton="0" quotePrefix="0" xfId="0">
      <alignment horizontal="general" vertical="center" wrapText="1" indent="1"/>
    </xf>
    <xf numFmtId="0" fontId="34" fillId="1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top" wrapText="1"/>
    </xf>
    <xf numFmtId="0" fontId="41" fillId="15" borderId="1" applyAlignment="1" pivotButton="0" quotePrefix="0" xfId="0">
      <alignment horizontal="general" vertical="center" wrapText="1"/>
    </xf>
    <xf numFmtId="0" fontId="42" fillId="15" borderId="1" applyAlignment="1" pivotButton="0" quotePrefix="0" xfId="0">
      <alignment horizontal="general" vertical="center" wrapText="1"/>
    </xf>
    <xf numFmtId="0" fontId="28" fillId="16" borderId="1" applyAlignment="1" pivotButton="0" quotePrefix="0" xfId="0">
      <alignment horizontal="general" vertical="center" wrapText="1"/>
    </xf>
    <xf numFmtId="0" fontId="34" fillId="1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9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center" vertical="bottom"/>
    </xf>
    <xf numFmtId="9" fontId="17" fillId="3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center" wrapText="1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general" vertical="bottom"/>
    </xf>
    <xf numFmtId="0" fontId="25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29" fillId="0" borderId="1" applyAlignment="1" pivotButton="0" quotePrefix="0" xfId="0">
      <alignment horizontal="left" vertical="top" wrapText="1"/>
    </xf>
    <xf numFmtId="0" fontId="31" fillId="0" borderId="1" applyAlignment="1" pivotButton="0" quotePrefix="0" xfId="0">
      <alignment horizontal="left" vertical="top" wrapText="1"/>
    </xf>
    <xf numFmtId="0" fontId="25" fillId="10" borderId="1" applyAlignment="1" pivotButton="0" quotePrefix="0" xfId="0">
      <alignment horizontal="center" vertical="top" wrapText="1"/>
    </xf>
    <xf numFmtId="0" fontId="32" fillId="0" borderId="1" applyAlignment="1" pivotButton="0" quotePrefix="0" xfId="0">
      <alignment horizontal="left" vertical="top" wrapText="1"/>
    </xf>
    <xf numFmtId="0" fontId="28" fillId="0" borderId="1" applyAlignment="1" pivotButton="0" quotePrefix="0" xfId="0">
      <alignment horizontal="left" vertical="top" wrapText="1"/>
    </xf>
    <xf numFmtId="0" fontId="30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bottom"/>
    </xf>
    <xf numFmtId="0" fontId="34" fillId="11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34" fillId="10" borderId="0" applyAlignment="1" pivotButton="0" quotePrefix="0" xfId="0">
      <alignment horizontal="general" vertical="bottom"/>
    </xf>
    <xf numFmtId="0" fontId="34" fillId="9" borderId="0" applyAlignment="1" pivotButton="0" quotePrefix="0" xfId="0">
      <alignment horizontal="general" vertical="bottom"/>
    </xf>
    <xf numFmtId="0" fontId="34" fillId="8" borderId="0" applyAlignment="1" pivotButton="0" quotePrefix="0" xfId="0">
      <alignment horizontal="general" vertical="bottom"/>
    </xf>
    <xf numFmtId="0" fontId="34" fillId="7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7" fillId="12" borderId="0" applyAlignment="1" pivotButton="0" quotePrefix="0" xfId="0">
      <alignment horizontal="general" vertical="center" indent="1"/>
    </xf>
    <xf numFmtId="0" fontId="39" fillId="13" borderId="0" applyAlignment="1" pivotButton="0" quotePrefix="0" xfId="0">
      <alignment horizontal="general" vertical="center" wrapText="1" indent="1"/>
    </xf>
    <xf numFmtId="0" fontId="34" fillId="1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top" wrapText="1"/>
    </xf>
    <xf numFmtId="0" fontId="41" fillId="15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42" fillId="15" borderId="1" applyAlignment="1" pivotButton="0" quotePrefix="0" xfId="0">
      <alignment horizontal="general" vertical="center" wrapText="1"/>
    </xf>
    <xf numFmtId="0" fontId="0" fillId="0" borderId="5" pivotButton="0" quotePrefix="0" xfId="0"/>
    <xf numFmtId="0" fontId="28" fillId="16" borderId="1" applyAlignment="1" pivotButton="0" quotePrefix="0" xfId="0">
      <alignment horizontal="general" vertical="center" wrapText="1"/>
    </xf>
    <xf numFmtId="0" fontId="34" fillId="10" borderId="1" applyAlignment="1" pivotButton="0" quotePrefix="0" xfId="0">
      <alignment horizontal="general" vertical="center" wrapText="1"/>
    </xf>
    <xf numFmtId="0" fontId="43" fillId="17" borderId="0" applyAlignment="1" pivotButton="0" quotePrefix="0" xfId="0">
      <alignment vertical="center"/>
    </xf>
    <xf numFmtId="0" fontId="44" fillId="18" borderId="0" applyAlignment="1" pivotButton="0" quotePrefix="0" xfId="0">
      <alignment vertical="center" wrapText="1"/>
    </xf>
    <xf numFmtId="0" fontId="45" fillId="19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center" vertical="top"/>
    </xf>
    <xf numFmtId="0" fontId="46" fillId="0" borderId="6" applyAlignment="1" pivotButton="0" quotePrefix="0" xfId="0">
      <alignment horizontal="left" vertical="top" wrapText="1"/>
    </xf>
    <xf numFmtId="0" fontId="46" fillId="20" borderId="6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46" fillId="21" borderId="6" applyAlignment="1" pivotButton="0" quotePrefix="0" xfId="0">
      <alignment vertical="center" wrapText="1"/>
    </xf>
    <xf numFmtId="0" fontId="45" fillId="22" borderId="6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AD3"/>
      <rgbColor rgb="FF674EA7"/>
      <rgbColor rgb="FFFFF9E6"/>
      <rgbColor rgb="FFEAF1FB"/>
      <rgbColor rgb="FF660066"/>
      <rgbColor rgb="FFFF8080"/>
      <rgbColor rgb="FF2E5C8A"/>
      <rgbColor rgb="FFD9D2E9"/>
      <rgbColor rgb="FF000080"/>
      <rgbColor rgb="FFFF00FF"/>
      <rgbColor rgb="FFF5F8FC"/>
      <rgbColor rgb="FF00FFFF"/>
      <rgbColor rgb="FF800080"/>
      <rgbColor rgb="FF800000"/>
      <rgbColor rgb="FF008080"/>
      <rgbColor rgb="FF0000FF"/>
      <rgbColor rgb="FF00CCFF"/>
      <rgbColor rgb="FFE8EEF7"/>
      <rgbColor rgb="FFC6EFCE"/>
      <rgbColor rgb="FFFFEB9C"/>
      <rgbColor rgb="FFCFE2F3"/>
      <rgbColor rgb="FFFFC7CE"/>
      <rgbColor rgb="FFD9E1F2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88" min="1" max="1"/>
    <col width="55" customWidth="1" style="88" min="2" max="2"/>
    <col width="45" customWidth="1" style="88" min="3" max="3"/>
  </cols>
  <sheetData>
    <row r="1" ht="23.85" customHeight="1" s="89">
      <c r="A1" s="90" t="inlineStr">
        <is>
          <t>최종 확정 스펙 (4차 크로스체크 반영, v4 — 9단계 구조) | 브랜드명: Host ON (AI)</t>
        </is>
      </c>
    </row>
    <row r="3" ht="17.15" customHeight="1" s="89">
      <c r="A3" s="91" t="inlineStr">
        <is>
          <t>구분</t>
        </is>
      </c>
      <c r="B3" s="91" t="inlineStr">
        <is>
          <t>최종 결정</t>
        </is>
      </c>
      <c r="C3" s="91" t="inlineStr">
        <is>
          <t>비고</t>
        </is>
      </c>
    </row>
    <row r="4" ht="37.5" customHeight="1" s="89">
      <c r="A4" s="92" t="inlineStr">
        <is>
          <t>데이터 계층</t>
        </is>
      </c>
      <c r="B4" s="93" t="inlineStr">
        <is>
          <t>Host → Property(단일 accommodation_type ENUM) → Room → Bed (모두 optional)</t>
        </is>
      </c>
      <c r="C4" s="92" t="inlineStr">
        <is>
          <t>법적으로 한 공간 복수유형 등록 불가</t>
        </is>
      </c>
    </row>
    <row r="5" ht="37.5" customHeight="1" s="89">
      <c r="A5" s="92" t="inlineStr">
        <is>
          <t>예약 단위</t>
        </is>
      </c>
      <c r="B5" s="93" t="inlineStr">
        <is>
          <t>Reservation.bookable_unit_type(PROPERTY/ROOM/BED)</t>
        </is>
      </c>
      <c r="C5" s="92" t="inlineStr">
        <is>
          <t>본인숙소=PROPERTY단위, 호스텔=ROOM단위</t>
        </is>
      </c>
    </row>
    <row r="6" ht="37.5" customHeight="1" s="89">
      <c r="A6" s="92" t="inlineStr">
        <is>
          <t>예약/환불/정산 상태</t>
        </is>
      </c>
      <c r="B6" s="93" t="inlineStr">
        <is>
          <t>reservation_status / refund_status / financial_status(ESTIMATED/CONFIRMED/MANUALLY_ADJUSTED) 모두 분리</t>
        </is>
      </c>
      <c r="C6" s="92" t="n"/>
    </row>
    <row r="7" ht="37.5" customHeight="1" s="89">
      <c r="A7" s="92" t="inlineStr">
        <is>
          <t>채널 수수료</t>
        </is>
      </c>
      <c r="B7" s="93" t="inlineStr">
        <is>
          <t>commission_rate 0.155(2026.5.25 한국 단일수수료 전환 반영)</t>
        </is>
      </c>
      <c r="C7" s="92" t="n"/>
    </row>
    <row r="8" ht="37.5" customHeight="1" s="89">
      <c r="A8" s="92" t="inlineStr">
        <is>
          <t>네이버예약</t>
        </is>
      </c>
      <c r="B8" s="93" t="inlineStr">
        <is>
          <t>iCal 미제공, 내보내기 전용으로만 UI 표기</t>
        </is>
      </c>
      <c r="C8" s="92" t="n"/>
    </row>
    <row r="9" ht="37.5" customHeight="1" s="89">
      <c r="A9" s="92" t="inlineStr">
        <is>
          <t>숙박업 유형 법정명칭</t>
        </is>
      </c>
      <c r="B9" s="93" t="inlineStr">
        <is>
          <t>'외국인관광 도시민박업' 정확 표기</t>
        </is>
      </c>
      <c r="C9" s="92" t="n"/>
    </row>
    <row r="10" ht="37.5" customHeight="1" s="89">
      <c r="A10" s="92" t="inlineStr">
        <is>
          <t>등록증 갱신방식</t>
        </is>
      </c>
      <c r="B10" s="92" t="inlineStr">
        <is>
          <t>정기갱신 없음, 변경사유 발생시 D+30 신고(EVENT_BASED)</t>
        </is>
      </c>
      <c r="C10" s="92" t="n"/>
    </row>
    <row r="11" ht="37.5" customHeight="1" s="89">
      <c r="A11" s="93" t="inlineStr">
        <is>
          <t>iCal 표현</t>
        </is>
      </c>
      <c r="B11" s="93" t="inlineStr">
        <is>
          <t>'실시간' 제거 → '동기화 시점 중복예약 충돌 감지'</t>
        </is>
      </c>
      <c r="C11" s="92" t="n"/>
    </row>
    <row r="12" ht="37.5" customHeight="1" s="89">
      <c r="A12" s="93" t="inlineStr">
        <is>
          <t>Mock/Real 경계</t>
        </is>
      </c>
      <c r="B12" s="93" t="inlineStr">
        <is>
          <t>iCal=Real, AI응답=Real(LLM), 스마트락/가격반영/OTA메시징=Mock</t>
        </is>
      </c>
      <c r="C12" s="92" t="inlineStr">
        <is>
          <t>화면에 '시뮬레이션' 뱃지로 명시 (신규)</t>
        </is>
      </c>
    </row>
    <row r="13" ht="37.5" customHeight="1" s="89">
      <c r="A13" s="93" t="inlineStr">
        <is>
          <t>DB 전략(신규 확정)</t>
        </is>
      </c>
      <c r="B13" s="92" t="inlineStr">
        <is>
          <t>로컬 개발부터 Docker Postgres 사용(MariaDB 대신 채택)</t>
        </is>
      </c>
      <c r="C13" s="93" t="inlineStr">
        <is>
          <t>MariaDB↔PostgreSQL 이원화로 인한 배포당일 문법오류 리스크 원천차단</t>
        </is>
      </c>
    </row>
    <row r="14" ht="37.5" customHeight="1" s="89">
      <c r="A14" s="92" t="inlineStr">
        <is>
          <t>배포 전략(신규 확정)</t>
        </is>
      </c>
      <c r="B14" s="93" t="inlineStr">
        <is>
          <t>Render 무료플랜 750시간 한도 보존을 위해 스테이징=프로덕션 서비스를 10/1에 생성, 10/8에 그대로 정식승격(재생성 아님)</t>
        </is>
      </c>
      <c r="C14" s="92" t="inlineStr">
        <is>
          <t>배포를 마지막에 몰아넣지 않되, 너무 일찍 만들어 무료시간을 낭비하지도 않음</t>
        </is>
      </c>
    </row>
    <row r="15" ht="37.5" customHeight="1" s="89">
      <c r="A15" s="93" t="inlineStr">
        <is>
          <t>UI/UX 설계(신규 확정)</t>
        </is>
      </c>
      <c r="B15" s="93" t="inlineStr">
        <is>
          <t>1단계와 2단계 사이 1.5단계로 독립 — 화면목록/와이어프레임/디자인시스템/로그인화면 설계</t>
        </is>
      </c>
      <c r="C15" s="92" t="inlineStr">
        <is>
          <t>로직은 촘촘했으나 화면 설계 단계 자체가 누락되어 있었음</t>
        </is>
      </c>
    </row>
    <row r="16" ht="37.5" customHeight="1" s="89">
      <c r="A16" s="92" t="inlineStr">
        <is>
          <t>회원가입/로그인(신규 확정)</t>
        </is>
      </c>
      <c r="B16" s="92" t="inlineStr">
        <is>
          <t>기능명세에는 있었으나 체크리스트에서 누락됐던 항목, 1.5단계 설계+2단계 구현으로 명시 추가</t>
        </is>
      </c>
      <c r="C16" s="92" t="n"/>
    </row>
    <row r="17" ht="37.5" customHeight="1" s="89">
      <c r="A17" s="92" t="inlineStr">
        <is>
          <t>통합QA·보안(신규 확정)</t>
        </is>
      </c>
      <c r="B17" s="93" t="inlineStr">
        <is>
          <t>5.5단계로 독립 — 회귀테스트, 예외케이스 전수점검, 보안점검, Mock라벨 전수확인, README</t>
        </is>
      </c>
      <c r="C17" s="93" t="inlineStr">
        <is>
          <t>QA를 마지막에 몰아넣지 않고 별도 단계화</t>
        </is>
      </c>
    </row>
    <row r="18" ht="37.5" customHeight="1" s="89">
      <c r="A18" s="92" t="inlineStr">
        <is>
          <t>데모 데이터(신규 확정)</t>
        </is>
      </c>
      <c r="B18" s="92" t="inlineStr">
        <is>
          <t>골든패스 시드 스크립트(호스트1+숙소3+예약15~20건+긴급알림 시나리오) 사전 제작, 발표전 재실행</t>
        </is>
      </c>
      <c r="C18" s="92" t="inlineStr">
        <is>
          <t>발표 중 빈화면/알림 미표시 방지</t>
        </is>
      </c>
    </row>
    <row r="19" ht="37.5" customHeight="1" s="89">
      <c r="A19" s="92" t="inlineStr">
        <is>
          <t>최종 데모검증(신규 확정)</t>
        </is>
      </c>
      <c r="B19" s="93" t="inlineStr">
        <is>
          <t>6.5단계 — Demo Reset+E2E 시나리오 리허설+예상 Q&amp;A 준비, 10/11에 배치</t>
        </is>
      </c>
      <c r="C19" s="93" t="inlineStr">
        <is>
          <t>10/12는 발표당일이라 작업 없음</t>
        </is>
      </c>
    </row>
    <row r="20" ht="37.5" customHeight="1" s="89">
      <c r="A20" s="92" t="inlineStr">
        <is>
          <t>발표 방식</t>
        </is>
      </c>
      <c r="B20" s="92" t="inlineStr">
        <is>
          <t>음성 나레이션 포함 영상으로 발표, 제출자료 자체가 영상일 필요는 없음</t>
        </is>
      </c>
      <c r="C20" s="92" t="inlineStr">
        <is>
          <t>제출마감 10/10, 10/11은 6.5단계 최종검증, 10/12 발표</t>
        </is>
      </c>
    </row>
    <row r="21" ht="37.5" customHeight="1" s="89">
      <c r="A21" s="92" t="inlineStr">
        <is>
          <t>작업 리듬</t>
        </is>
      </c>
      <c r="B21" s="92" t="inlineStr">
        <is>
          <t>주간(9~18시)=본인 직접개발·실행 / 야간=AI와 문서·콘텐츠 초안 / 익일아침=검토·보완</t>
        </is>
      </c>
      <c r="C21" s="92" t="inlineStr">
        <is>
          <t>체크리스트 '담당' 열에 표시</t>
        </is>
      </c>
    </row>
    <row r="22" ht="37.5" customHeight="1" s="89">
      <c r="A22" s="92" t="inlineStr">
        <is>
          <t>연장근무일(확정, 9/4 재조정)</t>
        </is>
      </c>
      <c r="B22" s="92" t="inlineStr">
        <is>
          <t>주중 월/수/금 저녁 3시간 반복 추가근무(9/24~25 명절휴무 제외)</t>
        </is>
      </c>
      <c r="C22" s="92" t="inlineStr">
        <is>
          <t>고정 4일 방식→매주 반복 패턴으로 변경, 10/5~10/11 최고부하구간은 월수금이 자연스럽게 커버</t>
        </is>
      </c>
    </row>
    <row r="23" ht="37.5" customHeight="1" s="89">
      <c r="A23" s="92" t="inlineStr">
        <is>
          <t>위험1 재점검(반영)</t>
        </is>
      </c>
      <c r="B23" s="92" t="inlineStr">
        <is>
          <t>예약→AI대화→ActionCenter 통합 딥링크 부재 → 신규 태스크 추가(9/26)</t>
        </is>
      </c>
      <c r="C23" s="92" t="inlineStr">
        <is>
          <t>화면이 따로 노는 'API조합툴'처럼 보이는 것 방지</t>
        </is>
      </c>
    </row>
    <row r="24" ht="37.5" customHeight="1" s="89">
      <c r="A24" s="92" t="inlineStr">
        <is>
          <t>위험2 재점검(기확인)</t>
        </is>
      </c>
      <c r="B24" s="93" t="inlineStr">
        <is>
          <t>AI텍스트 마크다운 렌더링, 에러 Toast 처리는 이미 반영돼 있었음(9/20,9/23)</t>
        </is>
      </c>
      <c r="C24" s="92" t="inlineStr">
        <is>
          <t>추가조치 불필요</t>
        </is>
      </c>
    </row>
    <row r="25" ht="37.5" customHeight="1" s="89">
      <c r="A25" s="92" t="inlineStr">
        <is>
          <t>외부 제출마감(신규확정)</t>
        </is>
      </c>
      <c r="B25" s="93" t="inlineStr">
        <is>
          <t>9/3(목) 11:00 기획서 제출(주제/선정이유/일정표/기술스택 필수포함) / 10/10 설명문서+소스코드 제출</t>
        </is>
      </c>
      <c r="C25" s="93" t="inlineStr">
        <is>
          <t>9/3은 개발 착수 초반이라 기존 대화내용(스펙/일정/스택)을 취합하는 수준으로 대응</t>
        </is>
      </c>
    </row>
    <row r="26" ht="37.5" customHeight="1" s="89">
      <c r="A26" s="92" t="inlineStr">
        <is>
          <t>인프라 제공현황(신규확인)</t>
        </is>
      </c>
      <c r="B26" s="93" t="inlineStr">
        <is>
          <t>Azure Cloud(확인 완료, 전환 안함) / Gemini Advanced(개인 구독, API 아님) / Google AI Studio 무료 API키(백업용 확보, Claude 유지) / HuggingFace 조직(무료 로컬 임베딩과 부합)</t>
        </is>
      </c>
      <c r="C26" s="93" t="inlineStr">
        <is>
          <t>LLM=Claude API 유지, 배포=Azure 전환 없이 Render 그대로 확정</t>
        </is>
      </c>
    </row>
    <row r="27" ht="37.5" customHeight="1" s="89">
      <c r="A27" s="92" t="inlineStr">
        <is>
          <t>배포 최종확정</t>
        </is>
      </c>
      <c r="B27" s="93" t="inlineStr">
        <is>
          <t>Vercel(프론트)+Render(백엔드, Hobby 무료플랜)+Supabase(DB) 그대로 확정</t>
        </is>
      </c>
      <c r="C27" s="93" t="inlineStr">
        <is>
          <t>Render 무료: 월750시간/워크스페이스, DB는 Supabase 사용하므로 Render의 '무료DB 30일만료' 함정 해당없음. 스테이징=프로덕션 서비스 통합(10/1생성→10/8 그대로 승격)으로 750시간 한도 내 안전</t>
        </is>
      </c>
    </row>
    <row r="28" ht="37.5" customHeight="1" s="89">
      <c r="A28" s="93" t="inlineStr">
        <is>
          <t>AI 아키텍처 확정(비용통제)</t>
        </is>
      </c>
      <c r="B28" s="93" t="inlineStr">
        <is>
          <t>RAG검색(로컬벡터, LLM비용0)→Claude 1회 통합호출(분류+위험도+다국어+근거 동시반환), 멀티스텝 분리 금지</t>
        </is>
      </c>
      <c r="C28" s="93" t="inlineStr">
        <is>
          <t>1문의=정상1회, 실패시 최대2회 재시도(최대3회/문의). retry×step 곱연산 폭주 방지가 핵심</t>
        </is>
      </c>
    </row>
    <row r="29" ht="37.5" customHeight="1" s="89">
      <c r="A29" s="92" t="inlineStr">
        <is>
          <t>비용 안전장치 10종(확정)</t>
        </is>
      </c>
      <c r="B29" s="93" t="inlineStr">
        <is>
          <t>①Spend Limit $10 ②재시도상한 ③Timeout10초 ④MAX_AGENT_STEPS ⑤엔드포인트Rate Limit ⑥RAG Top-K제한 ⑦개발용 응답캐시 ⑧사용량로깅 ⑨Dev/Prod키분리 ⑩문자 실발송 차단(데모때만)</t>
        </is>
      </c>
      <c r="C29" s="93" t="inlineStr">
        <is>
          <t>doc22/23 교차검증 결과 7개→10개로 확장</t>
        </is>
      </c>
    </row>
    <row r="30" ht="37.5" customHeight="1" s="89">
      <c r="A30" s="92" t="inlineStr">
        <is>
          <t>예상 비용(참고치)</t>
        </is>
      </c>
      <c r="B30" s="92" t="inlineStr">
        <is>
          <t>개발~데모 전체 약 $15~$100 범위(추정치, 실측 필요) — 프로젝트를 무너뜨릴 수준 아님</t>
        </is>
      </c>
      <c r="C30" s="92" t="inlineStr">
        <is>
          <t>실제 개발착수 후 50~100건 실측하여 재계산 권장. Claude Pro/Google AI Pro 구독은 API비용과 별개(개발도구용)</t>
        </is>
      </c>
    </row>
    <row r="32" ht="19.4" customHeight="1" s="89">
      <c r="A32" s="94" t="inlineStr">
        <is>
          <t>Action Center 규칙표</t>
        </is>
      </c>
    </row>
    <row r="33" ht="17.15" customHeight="1" s="89">
      <c r="A33" s="91" t="inlineStr">
        <is>
          <t>분류</t>
        </is>
      </c>
      <c r="B33" s="91" t="inlineStr">
        <is>
          <t>트리거 조건</t>
        </is>
      </c>
      <c r="C33" s="91" t="inlineStr">
        <is>
          <t>성격</t>
        </is>
      </c>
    </row>
    <row r="34" ht="45" customHeight="1" s="89">
      <c r="A34" s="92" t="inlineStr">
        <is>
          <t>🔴 지금 처리 필요</t>
        </is>
      </c>
      <c r="B34" s="93" t="inlineStr">
        <is>
          <t>iCal 동기화 시점 중복예약 충돌 감지 / 고위험 승인대기 / 체크인 2시간전 청소 미완료</t>
        </is>
      </c>
      <c r="C34" s="92" t="inlineStr">
        <is>
          <t>시스템 즉각 개입</t>
        </is>
      </c>
    </row>
    <row r="35" ht="45" customHeight="1" s="89">
      <c r="A35" s="92" t="inlineStr">
        <is>
          <t>🟡 오늘 확인</t>
        </is>
      </c>
      <c r="B35" s="93" t="inlineStr">
        <is>
          <t>EVENT_BASED 신고 D-30 / 청소 비품부족 플래그 / 신규예약 정산검토 대기</t>
        </is>
      </c>
      <c r="C35" s="92" t="inlineStr">
        <is>
          <t>당일 업무 큐</t>
        </is>
      </c>
    </row>
    <row r="36" ht="45" customHeight="1" s="89">
      <c r="A36" s="92" t="inlineStr">
        <is>
          <t>🟢 자동 처리</t>
        </is>
      </c>
      <c r="B36" s="92" t="inlineStr">
        <is>
          <t>저위험 자동응답 발송완료 / 청소완료+비번전송 완료</t>
        </is>
      </c>
      <c r="C36" s="92" t="inlineStr">
        <is>
          <t>사후 모니터링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88" min="1" max="2"/>
    <col width="8" customWidth="1" style="88" min="3" max="5"/>
    <col width="10" customWidth="1" style="88" min="6" max="6"/>
  </cols>
  <sheetData>
    <row r="1" ht="23.85" customHeight="1" s="89">
      <c r="A1" s="95" t="inlineStr">
        <is>
          <t>3rd Host AI — 진행현황 요약 (9단계 구조, 8/31 개발착수 → 10/10 완료)</t>
        </is>
      </c>
    </row>
    <row r="3" ht="17.15" customHeight="1" s="89">
      <c r="A3" s="91" t="inlineStr">
        <is>
          <t>카테고리</t>
        </is>
      </c>
      <c r="B3" s="91" t="inlineStr">
        <is>
          <t>일정(시작~종료)</t>
        </is>
      </c>
      <c r="C3" s="91" t="inlineStr">
        <is>
          <t>전체</t>
        </is>
      </c>
      <c r="D3" s="91" t="inlineStr">
        <is>
          <t>완료</t>
        </is>
      </c>
      <c r="E3" s="91" t="inlineStr">
        <is>
          <t>진행중</t>
        </is>
      </c>
      <c r="F3" s="91" t="inlineStr">
        <is>
          <t>완료율</t>
        </is>
      </c>
    </row>
    <row r="4" ht="17.15" customHeight="1" s="89">
      <c r="A4" s="96" t="inlineStr">
        <is>
          <t>데이터모델 설계(P0)</t>
        </is>
      </c>
      <c r="B4" s="97" t="inlineStr">
        <is>
          <t>2026-08-31 ~ 2026-09-04</t>
        </is>
      </c>
      <c r="C4" s="98">
        <f>COUNTIF(체크리스트!$B$4:$B$400,A4)</f>
        <v/>
      </c>
      <c r="D4" s="98">
        <f>COUNTIFS(체크리스트!$B$4:$B$400,A4,체크리스트!$E$4:$E$400,"완료")</f>
        <v/>
      </c>
      <c r="E4" s="98">
        <f>COUNTIFS(체크리스트!$B$4:$B$400,A4,체크리스트!$E$4:$E$400,"진행중")</f>
        <v/>
      </c>
      <c r="F4" s="99">
        <f>IFERROR(D4/C4,0)</f>
        <v/>
      </c>
    </row>
    <row r="5" ht="17.15" customHeight="1" s="89">
      <c r="A5" s="100" t="inlineStr">
        <is>
          <t>UI/UX 설계</t>
        </is>
      </c>
      <c r="B5" s="97" t="inlineStr">
        <is>
          <t>2026-09-07 ~ 2026-09-09</t>
        </is>
      </c>
      <c r="C5" s="98">
        <f>COUNTIF(체크리스트!$B$4:$B$400,A5)</f>
        <v/>
      </c>
      <c r="D5" s="98">
        <f>COUNTIFS(체크리스트!$B$4:$B$400,A5,체크리스트!$E$4:$E$400,"완료")</f>
        <v/>
      </c>
      <c r="E5" s="98">
        <f>COUNTIFS(체크리스트!$B$4:$B$400,A5,체크리스트!$E$4:$E$400,"진행중")</f>
        <v/>
      </c>
      <c r="F5" s="99">
        <f>IFERROR(D5/C5,0)</f>
        <v/>
      </c>
    </row>
    <row r="6" ht="15" customHeight="1" s="89">
      <c r="A6" s="96" t="inlineStr">
        <is>
          <t>기반 인프라</t>
        </is>
      </c>
      <c r="B6" s="97" t="inlineStr">
        <is>
          <t>2026-09-05 ~ 2026-09-18</t>
        </is>
      </c>
      <c r="C6" s="98">
        <f>COUNTIF(체크리스트!$B$4:$B$400,A6)</f>
        <v/>
      </c>
      <c r="D6" s="98">
        <f>COUNTIFS(체크리스트!$B$4:$B$400,A6,체크리스트!$E$4:$E$400,"완료")</f>
        <v/>
      </c>
      <c r="E6" s="98">
        <f>COUNTIFS(체크리스트!$B$4:$B$400,A6,체크리스트!$E$4:$E$400,"진행중")</f>
        <v/>
      </c>
      <c r="F6" s="99">
        <f>IFERROR(D6/C6,0)</f>
        <v/>
      </c>
    </row>
    <row r="7" ht="15" customHeight="1" s="89">
      <c r="A7" s="96" t="inlineStr">
        <is>
          <t>고객 응대 자동화</t>
        </is>
      </c>
      <c r="B7" s="97" t="inlineStr">
        <is>
          <t>2026-09-17 ~ 2026-09-28</t>
        </is>
      </c>
      <c r="C7" s="98">
        <f>COUNTIF(체크리스트!$B$4:$B$400,A7)</f>
        <v/>
      </c>
      <c r="D7" s="98">
        <f>COUNTIFS(체크리스트!$B$4:$B$400,A7,체크리스트!$E$4:$E$400,"완료")</f>
        <v/>
      </c>
      <c r="E7" s="98">
        <f>COUNTIFS(체크리스트!$B$4:$B$400,A7,체크리스트!$E$4:$E$400,"진행중")</f>
        <v/>
      </c>
      <c r="F7" s="99">
        <f>IFERROR(D7/C7,0)</f>
        <v/>
      </c>
    </row>
    <row r="8" ht="15" customHeight="1" s="89">
      <c r="A8" s="96" t="inlineStr">
        <is>
          <t>비대면 체크인</t>
        </is>
      </c>
      <c r="B8" s="97" t="inlineStr">
        <is>
          <t>2026-09-29 ~ 2026-09-30</t>
        </is>
      </c>
      <c r="C8" s="98">
        <f>COUNTIF(체크리스트!$B$4:$B$400,A8)</f>
        <v/>
      </c>
      <c r="D8" s="98">
        <f>COUNTIFS(체크리스트!$B$4:$B$400,A8,체크리스트!$E$4:$E$400,"완료")</f>
        <v/>
      </c>
      <c r="E8" s="98">
        <f>COUNTIFS(체크리스트!$B$4:$B$400,A8,체크리스트!$E$4:$E$400,"진행중")</f>
        <v/>
      </c>
      <c r="F8" s="99">
        <f>IFERROR(D8/C8,0)</f>
        <v/>
      </c>
    </row>
    <row r="9" ht="17.15" customHeight="1" s="89">
      <c r="A9" s="96" t="inlineStr">
        <is>
          <t>청소·시설 관리</t>
        </is>
      </c>
      <c r="B9" s="97" t="inlineStr">
        <is>
          <t>2026-09-28 ~ 2026-10-03</t>
        </is>
      </c>
      <c r="C9" s="98">
        <f>COUNTIF(체크리스트!$B$4:$B$400,A9)</f>
        <v/>
      </c>
      <c r="D9" s="98">
        <f>COUNTIFS(체크리스트!$B$4:$B$400,A9,체크리스트!$E$4:$E$400,"완료")</f>
        <v/>
      </c>
      <c r="E9" s="98">
        <f>COUNTIFS(체크리스트!$B$4:$B$400,A9,체크리스트!$E$4:$E$400,"진행중")</f>
        <v/>
      </c>
      <c r="F9" s="99">
        <f>IFERROR(D9/C9,0)</f>
        <v/>
      </c>
    </row>
    <row r="10" ht="15" customHeight="1" s="89">
      <c r="A10" s="96" t="inlineStr">
        <is>
          <t>정산 리포트</t>
        </is>
      </c>
      <c r="B10" s="97" t="inlineStr">
        <is>
          <t>2026-10-02 ~ 2026-10-06</t>
        </is>
      </c>
      <c r="C10" s="98">
        <f>COUNTIF(체크리스트!$B$4:$B$400,A10)</f>
        <v/>
      </c>
      <c r="D10" s="98">
        <f>COUNTIFS(체크리스트!$B$4:$B$400,A10,체크리스트!$E$4:$E$400,"완료")</f>
        <v/>
      </c>
      <c r="E10" s="98">
        <f>COUNTIFS(체크리스트!$B$4:$B$400,A10,체크리스트!$E$4:$E$400,"진행중")</f>
        <v/>
      </c>
      <c r="F10" s="99">
        <f>IFERROR(D10/C10,0)</f>
        <v/>
      </c>
    </row>
    <row r="11" ht="15" customHeight="1" s="89">
      <c r="A11" s="96" t="inlineStr">
        <is>
          <t>동적 가격 책정</t>
        </is>
      </c>
      <c r="B11" s="97" t="inlineStr">
        <is>
          <t>2026-10-05 ~ 2026-10-07</t>
        </is>
      </c>
      <c r="C11" s="98">
        <f>COUNTIF(체크리스트!$B$4:$B$400,A11)</f>
        <v/>
      </c>
      <c r="D11" s="98">
        <f>COUNTIFS(체크리스트!$B$4:$B$400,A11,체크리스트!$E$4:$E$400,"완료")</f>
        <v/>
      </c>
      <c r="E11" s="98">
        <f>COUNTIFS(체크리스트!$B$4:$B$400,A11,체크리스트!$E$4:$E$400,"진행중")</f>
        <v/>
      </c>
      <c r="F11" s="99">
        <f>IFERROR(D11/C11,0)</f>
        <v/>
      </c>
    </row>
    <row r="12" ht="17.15" customHeight="1" s="89">
      <c r="A12" s="96" t="inlineStr">
        <is>
          <t>알림·액션센터</t>
        </is>
      </c>
      <c r="B12" s="97" t="inlineStr">
        <is>
          <t>2026-10-06 ~ 2026-10-06</t>
        </is>
      </c>
      <c r="C12" s="98">
        <f>COUNTIF(체크리스트!$B$4:$B$400,A12)</f>
        <v/>
      </c>
      <c r="D12" s="98">
        <f>COUNTIFS(체크리스트!$B$4:$B$400,A12,체크리스트!$E$4:$E$400,"완료")</f>
        <v/>
      </c>
      <c r="E12" s="98">
        <f>COUNTIFS(체크리스트!$B$4:$B$400,A12,체크리스트!$E$4:$E$400,"진행중")</f>
        <v/>
      </c>
      <c r="F12" s="99">
        <f>IFERROR(D12/C12,0)</f>
        <v/>
      </c>
    </row>
    <row r="13" ht="15" customHeight="1" s="89">
      <c r="A13" s="96" t="inlineStr">
        <is>
          <t>컴플라이언스</t>
        </is>
      </c>
      <c r="B13" s="97" t="inlineStr">
        <is>
          <t>2026-10-01 ~ 2026-10-07</t>
        </is>
      </c>
      <c r="C13" s="98">
        <f>COUNTIF(체크리스트!$B$4:$B$400,A13)</f>
        <v/>
      </c>
      <c r="D13" s="98">
        <f>COUNTIFS(체크리스트!$B$4:$B$400,A13,체크리스트!$E$4:$E$400,"완료")</f>
        <v/>
      </c>
      <c r="E13" s="98">
        <f>COUNTIFS(체크리스트!$B$4:$B$400,A13,체크리스트!$E$4:$E$400,"진행중")</f>
        <v/>
      </c>
      <c r="F13" s="99">
        <f>IFERROR(D13/C13,0)</f>
        <v/>
      </c>
    </row>
    <row r="14" ht="17.15" customHeight="1" s="89">
      <c r="A14" s="96" t="inlineStr">
        <is>
          <t>통합QA·보안</t>
        </is>
      </c>
      <c r="B14" s="97" t="inlineStr">
        <is>
          <t>2026-10-08 ~ 2026-10-09</t>
        </is>
      </c>
      <c r="C14" s="98">
        <f>COUNTIF(체크리스트!$B$4:$B$400,A14)</f>
        <v/>
      </c>
      <c r="D14" s="98">
        <f>COUNTIFS(체크리스트!$B$4:$B$400,A14,체크리스트!$E$4:$E$400,"완료")</f>
        <v/>
      </c>
      <c r="E14" s="98">
        <f>COUNTIFS(체크리스트!$B$4:$B$400,A14,체크리스트!$E$4:$E$400,"진행중")</f>
        <v/>
      </c>
      <c r="F14" s="99">
        <f>IFERROR(D14/C14,0)</f>
        <v/>
      </c>
    </row>
    <row r="15" ht="15" customHeight="1" s="89">
      <c r="A15" s="96" t="inlineStr">
        <is>
          <t>마무리</t>
        </is>
      </c>
      <c r="B15" s="97" t="inlineStr">
        <is>
          <t>2026-09-05 ~ 2026-10-10</t>
        </is>
      </c>
      <c r="C15" s="98">
        <f>COUNTIF(체크리스트!$B$4:$B$400,A15)</f>
        <v/>
      </c>
      <c r="D15" s="98">
        <f>COUNTIFS(체크리스트!$B$4:$B$400,A15,체크리스트!$E$4:$E$400,"완료")</f>
        <v/>
      </c>
      <c r="E15" s="98">
        <f>COUNTIFS(체크리스트!$B$4:$B$400,A15,체크리스트!$E$4:$E$400,"진행중")</f>
        <v/>
      </c>
      <c r="F15" s="99">
        <f>IFERROR(D15/C15,0)</f>
        <v/>
      </c>
    </row>
    <row r="16" ht="15" customHeight="1" s="89">
      <c r="A16" s="96" t="inlineStr">
        <is>
          <t>최종 데모검증</t>
        </is>
      </c>
      <c r="B16" s="97" t="inlineStr">
        <is>
          <t>2026-10-11 ~ 2026-10-11</t>
        </is>
      </c>
      <c r="C16" s="98">
        <f>COUNTIF(체크리스트!$B$4:$B$400,A16)</f>
        <v/>
      </c>
      <c r="D16" s="98">
        <f>COUNTIFS(체크리스트!$B$4:$B$400,A16,체크리스트!$E$4:$E$400,"완료")</f>
        <v/>
      </c>
      <c r="E16" s="98">
        <f>COUNTIFS(체크리스트!$B$4:$B$400,A16,체크리스트!$E$4:$E$400,"진행중")</f>
        <v/>
      </c>
      <c r="F16" s="99">
        <f>IFERROR(D16/C16,0)</f>
        <v/>
      </c>
    </row>
    <row r="18" ht="15" customHeight="1" s="89">
      <c r="A18" s="101" t="inlineStr">
        <is>
          <t>전체 합계</t>
        </is>
      </c>
      <c r="B18" s="102" t="inlineStr">
        <is>
          <t>2026-08-31 ~ 2026-10-11</t>
        </is>
      </c>
      <c r="C18" s="101">
        <f>SUM(C4:C16)</f>
        <v/>
      </c>
      <c r="D18" s="101">
        <f>SUM(D4:D16)</f>
        <v/>
      </c>
      <c r="E18" s="101">
        <f>SUM(E4:E16)</f>
        <v/>
      </c>
      <c r="F18" s="103">
        <f>IFERROR(D18/C18,0)</f>
        <v/>
      </c>
    </row>
    <row r="20" ht="17.15" customHeight="1" s="89">
      <c r="A20" s="104" t="inlineStr">
        <is>
          <t>개발 착수일</t>
        </is>
      </c>
      <c r="B20" s="88" t="inlineStr">
        <is>
          <t>2026-08-31(월)</t>
        </is>
      </c>
    </row>
    <row r="21" ht="15" customHeight="1" s="89">
      <c r="A21" s="104" t="inlineStr">
        <is>
          <t>제출 마감일</t>
        </is>
      </c>
      <c r="B21" s="88" t="inlineStr">
        <is>
          <t>2026-10-10</t>
        </is>
      </c>
    </row>
    <row r="22" ht="15" customHeight="1" s="89">
      <c r="A22" s="104" t="inlineStr">
        <is>
          <t>오늘 날짜</t>
        </is>
      </c>
      <c r="B22" s="105">
        <f>TODAY()</f>
        <v/>
      </c>
    </row>
    <row r="23" ht="17.15" customHeight="1" s="89">
      <c r="A23" s="106" t="inlineStr">
        <is>
          <t>D-day(제출까지)</t>
        </is>
      </c>
      <c r="B23" s="88">
        <f>DATE(2026,10,10)-TODAY()</f>
        <v/>
      </c>
    </row>
    <row r="25" ht="19.4" customHeight="1" s="89">
      <c r="A25" s="107" t="inlineStr">
        <is>
          <t>★ 실제 진행률 (일일 크로스체크 ☑ 기준)</t>
        </is>
      </c>
    </row>
    <row r="26" ht="15" customHeight="1" s="89">
      <c r="A26" s="108" t="inlineStr">
        <is>
          <t>완료 개수</t>
        </is>
      </c>
      <c r="B26" s="109">
        <f>COUNTIF('일일 크로스체크'!G:G,"☑")</f>
        <v/>
      </c>
    </row>
    <row r="27" ht="15" customHeight="1" s="89">
      <c r="A27" s="108" t="inlineStr">
        <is>
          <t>전체 개수</t>
        </is>
      </c>
      <c r="B27" s="109">
        <f>COUNTIF('일일 크로스체크'!G:G,"☑")+COUNTIF('일일 크로스체크'!G:G,"☐")</f>
        <v/>
      </c>
    </row>
    <row r="28" ht="15" customHeight="1" s="89">
      <c r="A28" s="108" t="inlineStr">
        <is>
          <t>실제 완료율</t>
        </is>
      </c>
      <c r="B28" s="110">
        <f>IFERROR(B26/B27,0)</f>
        <v/>
      </c>
    </row>
    <row r="29" ht="30" customHeight="1" s="89">
      <c r="A29" s="111" t="inlineStr">
        <is>
          <t>⚠ 참고: 위 카테고리별 표(완료/진행중 열)는 '체크리스트' 시트의 상태값을 세는 것이라 별개입니다. 매일 체크하시는 '일일 크로스체크'만 쓰신다면 이 박스가 실제 진행률입니다.</t>
        </is>
      </c>
    </row>
    <row r="31" ht="15" customHeight="1" s="89">
      <c r="A31" s="112" t="inlineStr">
        <is>
          <t>완료</t>
        </is>
      </c>
      <c r="B31" s="113" t="inlineStr">
        <is>
          <t>진행중</t>
        </is>
      </c>
      <c r="C31" s="114" t="inlineStr">
        <is>
          <t>예정</t>
        </is>
      </c>
    </row>
    <row r="32" ht="15" customHeight="1" s="89">
      <c r="A32" s="115" t="inlineStr">
        <is>
          <t>※ 노랑=차별화 / 빨강=P0 / 보라=검증 / 파랑=신규추가항목</t>
        </is>
      </c>
    </row>
    <row r="33" ht="15" customHeight="1" s="89">
      <c r="A33" s="115" t="inlineStr">
        <is>
          <t>※ 모든 작업의 담당은 본인. Claude Code=코드구현 직접실행 / Claude=대화로 검토·설계보조 / Gemini=콘텐츠초안·교차검증보조(도구일 뿐, 최종 의사결정은 본인)</t>
        </is>
      </c>
    </row>
  </sheetData>
  <mergeCells count="3">
    <mergeCell ref="A25:F25"/>
    <mergeCell ref="A1:F1"/>
    <mergeCell ref="A29:F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88" min="1" max="1"/>
    <col width="16" customWidth="1" style="88" min="2" max="2"/>
    <col width="50" customWidth="1" style="88" min="3" max="3"/>
    <col width="8" customWidth="1" style="88" min="4" max="5"/>
    <col width="26" customWidth="1" style="88" min="6" max="6"/>
    <col width="16" customWidth="1" style="88" min="7" max="7"/>
    <col width="26" customWidth="1" style="88" min="8" max="8"/>
  </cols>
  <sheetData>
    <row r="1" ht="23.85" customHeight="1" s="89">
      <c r="A1" s="95" t="inlineStr">
        <is>
          <t>3rd Host AI — 상세 체크리스트 (9단계 구조: 1,1.5,2,3,4,5,5.5,6,6.5)</t>
        </is>
      </c>
    </row>
    <row r="3" ht="32.8" customHeight="1" s="89">
      <c r="A3" s="91" t="inlineStr">
        <is>
          <t>단계</t>
        </is>
      </c>
      <c r="B3" s="91" t="inlineStr">
        <is>
          <t>카테고리</t>
        </is>
      </c>
      <c r="C3" s="91" t="inlineStr">
        <is>
          <t>세부 작업</t>
        </is>
      </c>
      <c r="D3" s="91" t="inlineStr">
        <is>
          <t>우선순위</t>
        </is>
      </c>
      <c r="E3" s="91" t="inlineStr">
        <is>
          <t>상태</t>
        </is>
      </c>
      <c r="F3" s="91" t="inlineStr">
        <is>
          <t>담당 / 활용도구</t>
        </is>
      </c>
      <c r="G3" s="91" t="inlineStr">
        <is>
          <t>날짜(요일)</t>
        </is>
      </c>
      <c r="H3" s="91" t="inlineStr">
        <is>
          <t>비고</t>
        </is>
      </c>
    </row>
    <row r="4" ht="33.75" customHeight="1" s="89">
      <c r="A4" s="116" t="inlineStr">
        <is>
          <t>1</t>
        </is>
      </c>
      <c r="B4" s="117" t="inlineStr">
        <is>
          <t>데이터모델 설계(P0)</t>
        </is>
      </c>
      <c r="C4" s="118" t="inlineStr">
        <is>
          <t>Host-Property-Room-Bed 계층 스키마 확정(모두 optional)</t>
        </is>
      </c>
      <c r="D4" s="119" t="inlineStr">
        <is>
          <t>최상</t>
        </is>
      </c>
      <c r="E4" s="119" t="inlineStr">
        <is>
          <t>완료</t>
        </is>
      </c>
      <c r="F4" s="120" t="inlineStr">
        <is>
          <t>본인 — Gemini(검토·콘텐츠 초안 보조)</t>
        </is>
      </c>
      <c r="G4" s="116" t="inlineStr">
        <is>
          <t>2026-08-31(월)</t>
        </is>
      </c>
      <c r="H4" s="118" t="inlineStr">
        <is>
          <t>P0</t>
        </is>
      </c>
    </row>
    <row r="5" ht="33.75" customHeight="1" s="89">
      <c r="A5" s="121" t="inlineStr">
        <is>
          <t>1</t>
        </is>
      </c>
      <c r="B5" s="122" t="inlineStr">
        <is>
          <t>데이터모델 설계(P0)</t>
        </is>
      </c>
      <c r="C5" s="123" t="inlineStr">
        <is>
          <t>STEP0: DB명세서v1(3rd_host_ai_db_spec_v1.md)을 스키마 최종권위 문서로 확정 + 구버전 ERD(guests/payments 등 포함 폐기 초안) 폐기처리</t>
        </is>
      </c>
      <c r="D5" s="124" t="inlineStr">
        <is>
          <t>최상</t>
        </is>
      </c>
      <c r="E5" s="124" t="inlineStr">
        <is>
          <t>완료</t>
        </is>
      </c>
      <c r="F5" s="122" t="inlineStr">
        <is>
          <t>본인 — Claude(대화로 검토·설계 보조)</t>
        </is>
      </c>
      <c r="G5" s="121" t="inlineStr">
        <is>
          <t>2026-08-31(월)</t>
        </is>
      </c>
      <c r="H5" s="122" t="inlineStr">
        <is>
          <t>신규, 문서기준선(SSOT) 확정</t>
        </is>
      </c>
    </row>
    <row r="6" ht="33.75" customHeight="1" s="89">
      <c r="A6" s="116" t="inlineStr">
        <is>
          <t>1</t>
        </is>
      </c>
      <c r="B6" s="117" t="inlineStr">
        <is>
          <t>데이터모델 설계(P0)</t>
        </is>
      </c>
      <c r="C6" s="118" t="inlineStr">
        <is>
          <t>Property.accommodation_type 단일 ENUM 필드 확정</t>
        </is>
      </c>
      <c r="D6" s="119" t="inlineStr">
        <is>
          <t>최상</t>
        </is>
      </c>
      <c r="E6" s="119" t="inlineStr">
        <is>
          <t>완료</t>
        </is>
      </c>
      <c r="F6" s="120" t="inlineStr">
        <is>
          <t>본인 — Gemini(검토·콘텐츠 초안 보조)</t>
        </is>
      </c>
      <c r="G6" s="116" t="inlineStr">
        <is>
          <t>2026-08-31(월)</t>
        </is>
      </c>
      <c r="H6" s="118" t="inlineStr">
        <is>
          <t>P0</t>
        </is>
      </c>
    </row>
    <row r="7" ht="33.75" customHeight="1" s="89">
      <c r="A7" s="116" t="inlineStr">
        <is>
          <t>1</t>
        </is>
      </c>
      <c r="B7" s="117" t="inlineStr">
        <is>
          <t>데이터모델 설계(P0)</t>
        </is>
      </c>
      <c r="C7" s="118" t="inlineStr">
        <is>
          <t>Reservation.bookable_unit_type(PROPERTY/ROOM/BED) 설계</t>
        </is>
      </c>
      <c r="D7" s="119" t="inlineStr">
        <is>
          <t>최상</t>
        </is>
      </c>
      <c r="E7" s="119" t="inlineStr">
        <is>
          <t>완료</t>
        </is>
      </c>
      <c r="F7" s="120" t="inlineStr">
        <is>
          <t>본인 — Gemini(검토·콘텐츠 초안 보조)</t>
        </is>
      </c>
      <c r="G7" s="116" t="inlineStr">
        <is>
          <t>2026-09-01(화)</t>
        </is>
      </c>
      <c r="H7" s="118" t="inlineStr">
        <is>
          <t>P0</t>
        </is>
      </c>
    </row>
    <row r="8" ht="33.75" customHeight="1" s="89">
      <c r="A8" s="116" t="inlineStr">
        <is>
          <t>1</t>
        </is>
      </c>
      <c r="B8" s="117" t="inlineStr">
        <is>
          <t>데이터모델 설계(P0)</t>
        </is>
      </c>
      <c r="C8" s="118" t="inlineStr">
        <is>
          <t>PROPERTY 단위 예약시 하위 Room 전체 블록 인터셉터 로직 정의(본인 3룸숙소 실제케이스)</t>
        </is>
      </c>
      <c r="D8" s="119" t="inlineStr">
        <is>
          <t>최상</t>
        </is>
      </c>
      <c r="E8" s="119" t="inlineStr">
        <is>
          <t>완료</t>
        </is>
      </c>
      <c r="F8" s="120" t="inlineStr">
        <is>
          <t>본인 — Gemini(검토·콘텐츠 초안 보조)</t>
        </is>
      </c>
      <c r="G8" s="116" t="inlineStr">
        <is>
          <t>2026-09-01(화)</t>
        </is>
      </c>
      <c r="H8" s="118" t="inlineStr">
        <is>
          <t>P0</t>
        </is>
      </c>
    </row>
    <row r="9" ht="33.75" customHeight="1" s="89">
      <c r="A9" s="116" t="inlineStr">
        <is>
          <t>1</t>
        </is>
      </c>
      <c r="B9" s="117" t="inlineStr">
        <is>
          <t>데이터모델 설계(P0)</t>
        </is>
      </c>
      <c r="C9" s="118" t="inlineStr">
        <is>
          <t>reservation_status / refund_status 분리 설계</t>
        </is>
      </c>
      <c r="D9" s="119" t="inlineStr">
        <is>
          <t>최상</t>
        </is>
      </c>
      <c r="E9" s="119" t="inlineStr">
        <is>
          <t>완료</t>
        </is>
      </c>
      <c r="F9" s="120" t="inlineStr">
        <is>
          <t>본인 — Gemini(검토·콘텐츠 초안 보조)</t>
        </is>
      </c>
      <c r="G9" s="116" t="inlineStr">
        <is>
          <t>2026-09-01(화)</t>
        </is>
      </c>
      <c r="H9" s="118" t="inlineStr">
        <is>
          <t>P0</t>
        </is>
      </c>
    </row>
    <row r="10" ht="33.75" customHeight="1" s="89">
      <c r="A10" s="125" t="inlineStr">
        <is>
          <t>1</t>
        </is>
      </c>
      <c r="B10" s="126" t="inlineStr">
        <is>
          <t>데이터모델 설계(P0)</t>
        </is>
      </c>
      <c r="C10" s="127" t="inlineStr">
        <is>
          <t>Reservation CHECK 제약(bookable_unit_type↔room_id/bed_id 조합) 확정</t>
        </is>
      </c>
      <c r="D10" s="128" t="inlineStr">
        <is>
          <t>최상</t>
        </is>
      </c>
      <c r="E10" s="128" t="inlineStr">
        <is>
          <t>완료</t>
        </is>
      </c>
      <c r="F10" s="126" t="inlineStr">
        <is>
          <t>본인 — Claude(대화로 검토·설계 보조)</t>
        </is>
      </c>
      <c r="G10" s="125" t="inlineStr">
        <is>
          <t>2026-09-01(화)</t>
        </is>
      </c>
      <c r="H10" s="126" t="inlineStr">
        <is>
          <t>간극항목1, DB명세서 2.6절 참고</t>
        </is>
      </c>
    </row>
    <row r="11" ht="33.75" customHeight="1" s="89">
      <c r="A11" s="125" t="inlineStr">
        <is>
          <t>1</t>
        </is>
      </c>
      <c r="B11" s="126" t="inlineStr">
        <is>
          <t>데이터모델 설계(P0)</t>
        </is>
      </c>
      <c r="C11" s="127" t="inlineStr">
        <is>
          <t>ROOMS/BEDS 계층 복합FK+UNIQUE + Reservation↔Channel/Room/Bed 동일Property 보장(통합확정)</t>
        </is>
      </c>
      <c r="D11" s="128" t="inlineStr">
        <is>
          <t>최상</t>
        </is>
      </c>
      <c r="E11" s="128" t="inlineStr">
        <is>
          <t>완료</t>
        </is>
      </c>
      <c r="F11" s="126" t="inlineStr">
        <is>
          <t>본인 — Claude(대화로 검토·설계 보조)</t>
        </is>
      </c>
      <c r="G11" s="125" t="inlineStr">
        <is>
          <t>2026-09-01(화)</t>
        </is>
      </c>
      <c r="H11" s="126" t="inlineStr">
        <is>
          <t>간극항목2·6, DB명세서 2.6절 참고</t>
        </is>
      </c>
    </row>
    <row r="12" ht="33.75" customHeight="1" s="89">
      <c r="A12" s="125" t="inlineStr">
        <is>
          <t>1</t>
        </is>
      </c>
      <c r="B12" s="126" t="inlineStr">
        <is>
          <t>데이터모델 설계(P0)</t>
        </is>
      </c>
      <c r="C12" s="127" t="inlineStr">
        <is>
          <t>UNIQUE 복합제약 3종 확정(channel_connection_id+external_uid / property_id+target_month / property_id+channel)</t>
        </is>
      </c>
      <c r="D12" s="128" t="inlineStr">
        <is>
          <t>상</t>
        </is>
      </c>
      <c r="E12" s="128" t="inlineStr">
        <is>
          <t>완료</t>
        </is>
      </c>
      <c r="F12" s="129" t="inlineStr">
        <is>
          <t>본인 — Gemini(검토·콘텐츠 초안 보조)</t>
        </is>
      </c>
      <c r="G12" s="125" t="inlineStr">
        <is>
          <t>2026-09-01(화)</t>
        </is>
      </c>
      <c r="H12" s="126" t="inlineStr">
        <is>
          <t>간극항목8, DB명세서 참고</t>
        </is>
      </c>
    </row>
    <row r="13" ht="33.75" customHeight="1" s="89">
      <c r="A13" s="125" t="inlineStr">
        <is>
          <t>1</t>
        </is>
      </c>
      <c r="B13" s="126" t="inlineStr">
        <is>
          <t>데이터모델 설계(P0)</t>
        </is>
      </c>
      <c r="C13" s="127" t="inlineStr">
        <is>
          <t>INQUIRY_RESPONSES 1:N + is_latest 플래그 설계 확정</t>
        </is>
      </c>
      <c r="D13" s="128" t="inlineStr">
        <is>
          <t>상</t>
        </is>
      </c>
      <c r="E13" s="128" t="inlineStr">
        <is>
          <t>완료</t>
        </is>
      </c>
      <c r="F13" s="129" t="inlineStr">
        <is>
          <t>본인 — Gemini(검토·콘텐츠 초안 보조)</t>
        </is>
      </c>
      <c r="G13" s="125" t="inlineStr">
        <is>
          <t>2026-09-01(화)</t>
        </is>
      </c>
      <c r="H13" s="126" t="inlineStr">
        <is>
          <t>간극항목7, 실제구현은 9/19</t>
        </is>
      </c>
    </row>
    <row r="14" ht="33.75" customHeight="1" s="89">
      <c r="A14" s="125" t="inlineStr">
        <is>
          <t>1</t>
        </is>
      </c>
      <c r="B14" s="126" t="inlineStr">
        <is>
          <t>데이터모델 설계(P0)</t>
        </is>
      </c>
      <c r="C14" s="127" t="inlineStr">
        <is>
          <t>FINANCIAL_CONFIGS→MONTHLY_SETTLEMENTS 관계 제거(스냅샷 분리) 확정</t>
        </is>
      </c>
      <c r="D14" s="128" t="inlineStr">
        <is>
          <t>상</t>
        </is>
      </c>
      <c r="E14" s="128" t="inlineStr">
        <is>
          <t>완료</t>
        </is>
      </c>
      <c r="F14" s="129" t="inlineStr">
        <is>
          <t>본인 — Gemini(검토·콘텐츠 초안 보조)</t>
        </is>
      </c>
      <c r="G14" s="125" t="inlineStr">
        <is>
          <t>2026-09-01(화)</t>
        </is>
      </c>
      <c r="H14" s="126" t="inlineStr">
        <is>
          <t>간극항목9, 실제구현은 10/5</t>
        </is>
      </c>
    </row>
    <row r="15" ht="33.75" customHeight="1" s="89">
      <c r="A15" s="121" t="inlineStr">
        <is>
          <t>1</t>
        </is>
      </c>
      <c r="B15" s="122" t="inlineStr">
        <is>
          <t>데이터모델 설계(P0)</t>
        </is>
      </c>
      <c r="C15" s="122" t="inlineStr">
        <is>
          <t>제출용 기획서 초안 작성(주제/선정이유/일정표/기술스택 — 기존 대화내용 취합)</t>
        </is>
      </c>
      <c r="D15" s="124" t="inlineStr">
        <is>
          <t>최상</t>
        </is>
      </c>
      <c r="E15" s="124" t="inlineStr">
        <is>
          <t>완료</t>
        </is>
      </c>
      <c r="F15" s="130" t="inlineStr">
        <is>
          <t>본인 — Gemini(검토·콘텐츠 초안 보조)</t>
        </is>
      </c>
      <c r="G15" s="121" t="inlineStr">
        <is>
          <t>2026-09-01(화)</t>
        </is>
      </c>
      <c r="H15" s="122" t="inlineStr">
        <is>
          <t>신규, 외부제출마감(9/3 11시)</t>
        </is>
      </c>
    </row>
    <row r="16" ht="33.75" customHeight="1" s="89">
      <c r="A16" s="116" t="inlineStr">
        <is>
          <t>1</t>
        </is>
      </c>
      <c r="B16" s="117" t="inlineStr">
        <is>
          <t>데이터모델 설계(P0)</t>
        </is>
      </c>
      <c r="C16" s="118" t="inlineStr">
        <is>
          <t>financial_status(ESTIMATED/CONFIRMED/MANUALLY_ADJUSTED) 필드 설계</t>
        </is>
      </c>
      <c r="D16" s="119" t="inlineStr">
        <is>
          <t>최상</t>
        </is>
      </c>
      <c r="E16" s="119" t="inlineStr">
        <is>
          <t>완료</t>
        </is>
      </c>
      <c r="F16" s="120" t="inlineStr">
        <is>
          <t>본인 — Gemini(검토·콘텐츠 초안 보조)</t>
        </is>
      </c>
      <c r="G16" s="116" t="inlineStr">
        <is>
          <t>2026-09-02(수)</t>
        </is>
      </c>
      <c r="H16" s="118" t="inlineStr">
        <is>
          <t>P0</t>
        </is>
      </c>
    </row>
    <row r="17" ht="33.75" customHeight="1" s="89">
      <c r="A17" s="116" t="inlineStr">
        <is>
          <t>1</t>
        </is>
      </c>
      <c r="B17" s="117" t="inlineStr">
        <is>
          <t>데이터모델 설계(P0)</t>
        </is>
      </c>
      <c r="C17" s="117" t="inlineStr">
        <is>
          <t>날짜 5종 분리 확정(booked_at/check_in/check_out/expected_settlement_at/actual_settlement_at)</t>
        </is>
      </c>
      <c r="D17" s="119" t="inlineStr">
        <is>
          <t>최상</t>
        </is>
      </c>
      <c r="E17" s="119" t="inlineStr">
        <is>
          <t>완료</t>
        </is>
      </c>
      <c r="F17" s="120" t="inlineStr">
        <is>
          <t>본인 — Gemini(검토·콘텐츠 초안 보조)</t>
        </is>
      </c>
      <c r="G17" s="116" t="inlineStr">
        <is>
          <t>2026-09-02(수)</t>
        </is>
      </c>
      <c r="H17" s="118" t="inlineStr">
        <is>
          <t>P0</t>
        </is>
      </c>
    </row>
    <row r="18" ht="33.75" customHeight="1" s="89">
      <c r="A18" s="116" t="inlineStr">
        <is>
          <t>1</t>
        </is>
      </c>
      <c r="B18" s="117" t="inlineStr">
        <is>
          <t>데이터모델 설계(P0)</t>
        </is>
      </c>
      <c r="C18" s="118" t="inlineStr">
        <is>
          <t>ChannelConnection 모델 설계(channel/external_property_id/sync_status/last_synced_at)</t>
        </is>
      </c>
      <c r="D18" s="119" t="inlineStr">
        <is>
          <t>최상</t>
        </is>
      </c>
      <c r="E18" s="119" t="inlineStr">
        <is>
          <t>완료</t>
        </is>
      </c>
      <c r="F18" s="120" t="inlineStr">
        <is>
          <t>본인 — Gemini(검토·콘텐츠 초안 보조)</t>
        </is>
      </c>
      <c r="G18" s="116" t="inlineStr">
        <is>
          <t>2026-09-02(수)</t>
        </is>
      </c>
      <c r="H18" s="118" t="inlineStr">
        <is>
          <t>P0</t>
        </is>
      </c>
    </row>
    <row r="19" ht="33.75" customHeight="1" s="89">
      <c r="A19" s="116" t="inlineStr">
        <is>
          <t>1</t>
        </is>
      </c>
      <c r="B19" s="117" t="inlineStr">
        <is>
          <t>데이터모델 설계(P0)</t>
        </is>
      </c>
      <c r="C19" s="118" t="inlineStr">
        <is>
          <t>ChecklistTemplate.renewal_trigger_type(NONE/EXPIRATION_BASED/EVENT_BASED) 필드 추가</t>
        </is>
      </c>
      <c r="D19" s="119" t="inlineStr">
        <is>
          <t>상</t>
        </is>
      </c>
      <c r="E19" s="119" t="inlineStr">
        <is>
          <t>완료</t>
        </is>
      </c>
      <c r="F19" s="120" t="inlineStr">
        <is>
          <t>본인 — Gemini(검토·콘텐츠 초안 보조)</t>
        </is>
      </c>
      <c r="G19" s="116" t="inlineStr">
        <is>
          <t>2026-09-02(수)</t>
        </is>
      </c>
      <c r="H19" s="118" t="inlineStr">
        <is>
          <t>P0</t>
        </is>
      </c>
    </row>
    <row r="20" ht="33.75" customHeight="1" s="89">
      <c r="A20" s="116" t="inlineStr">
        <is>
          <t>1</t>
        </is>
      </c>
      <c r="B20" s="117" t="inlineStr">
        <is>
          <t>데이터모델 설계(P0)</t>
        </is>
      </c>
      <c r="C20" s="118" t="inlineStr">
        <is>
          <t>Property 단위 데이터 격리 원칙 확정(KB/Reservation/Checklist/SmartLock 전체)</t>
        </is>
      </c>
      <c r="D20" s="119" t="inlineStr">
        <is>
          <t>최상</t>
        </is>
      </c>
      <c r="E20" s="119" t="inlineStr">
        <is>
          <t>완료</t>
        </is>
      </c>
      <c r="F20" s="117" t="inlineStr">
        <is>
          <t>본인 — Claude(대화로 검토·설계 보조)</t>
        </is>
      </c>
      <c r="G20" s="116" t="inlineStr">
        <is>
          <t>2026-09-02(수)</t>
        </is>
      </c>
      <c r="H20" s="118" t="inlineStr">
        <is>
          <t>P0</t>
        </is>
      </c>
    </row>
    <row r="21" ht="33.75" customHeight="1" s="89">
      <c r="A21" s="125" t="inlineStr">
        <is>
          <t>1</t>
        </is>
      </c>
      <c r="B21" s="126" t="inlineStr">
        <is>
          <t>데이터모델 설계(P0)</t>
        </is>
      </c>
      <c r="C21" s="127" t="inlineStr">
        <is>
          <t>ACTION_ITEMS 중복생성 idempotency 정책 문서화(동일 reservation_id+category+OPEN 재사용)</t>
        </is>
      </c>
      <c r="D21" s="128" t="inlineStr">
        <is>
          <t>상</t>
        </is>
      </c>
      <c r="E21" s="128" t="inlineStr">
        <is>
          <t>완료</t>
        </is>
      </c>
      <c r="F21" s="129" t="inlineStr">
        <is>
          <t>본인 — Gemini(검토·콘텐츠 초안 보조)</t>
        </is>
      </c>
      <c r="G21" s="125" t="inlineStr">
        <is>
          <t>2026-09-02(수)</t>
        </is>
      </c>
      <c r="H21" s="126" t="inlineStr">
        <is>
          <t>간극항목10, 실제구현은 10/6</t>
        </is>
      </c>
    </row>
    <row r="22" ht="33.75" customHeight="1" s="89">
      <c r="A22" s="125" t="inlineStr">
        <is>
          <t>1</t>
        </is>
      </c>
      <c r="B22" s="126" t="inlineStr">
        <is>
          <t>데이터모델 설계(P0)</t>
        </is>
      </c>
      <c r="C22" s="127" t="inlineStr">
        <is>
          <t>risk_level '규칙기반 우선순위'로 문서화(법적판단 아님 명시)</t>
        </is>
      </c>
      <c r="D22" s="128" t="inlineStr">
        <is>
          <t>상</t>
        </is>
      </c>
      <c r="E22" s="128" t="inlineStr">
        <is>
          <t>완료</t>
        </is>
      </c>
      <c r="F22" s="129" t="inlineStr">
        <is>
          <t>본인 — Gemini(검토·콘텐츠 초안 보조)</t>
        </is>
      </c>
      <c r="G22" s="125" t="inlineStr">
        <is>
          <t>2026-09-02(수)</t>
        </is>
      </c>
      <c r="H22" s="126" t="inlineStr">
        <is>
          <t>간극항목11</t>
        </is>
      </c>
    </row>
    <row r="23" ht="33.75" customHeight="1" s="89">
      <c r="A23" s="125" t="inlineStr">
        <is>
          <t>1</t>
        </is>
      </c>
      <c r="B23" s="126" t="inlineStr">
        <is>
          <t>데이터모델 설계(P0)</t>
        </is>
      </c>
      <c r="C23" s="126" t="inlineStr">
        <is>
          <t>인덱스 요구사항 목록화(property_id 계열 전체+ActionCenter 복합인덱스, 실제생성은 9/5)</t>
        </is>
      </c>
      <c r="D23" s="128" t="inlineStr">
        <is>
          <t>상</t>
        </is>
      </c>
      <c r="E23" s="128" t="inlineStr">
        <is>
          <t>완료</t>
        </is>
      </c>
      <c r="F23" s="129" t="inlineStr">
        <is>
          <t>본인 — Gemini(검토·콘텐츠 초안 보조)</t>
        </is>
      </c>
      <c r="G23" s="125" t="inlineStr">
        <is>
          <t>2026-09-02(수)</t>
        </is>
      </c>
      <c r="H23" s="126" t="inlineStr">
        <is>
          <t>간극항목12</t>
        </is>
      </c>
    </row>
    <row r="24" ht="33.75" customHeight="1" s="89">
      <c r="A24" s="121" t="inlineStr">
        <is>
          <t>1</t>
        </is>
      </c>
      <c r="B24" s="122" t="inlineStr">
        <is>
          <t>데이터모델 설계(P0)</t>
        </is>
      </c>
      <c r="C24" s="123" t="inlineStr">
        <is>
          <t>DB명세서↔ERD↔체크리스트 3문서 최종 동기화 확인</t>
        </is>
      </c>
      <c r="D24" s="124" t="inlineStr">
        <is>
          <t>최상</t>
        </is>
      </c>
      <c r="E24" s="124" t="inlineStr">
        <is>
          <t>완료</t>
        </is>
      </c>
      <c r="F24" s="122" t="inlineStr">
        <is>
          <t>본인 — Claude(대화로 검토·설계 보조)</t>
        </is>
      </c>
      <c r="G24" s="121" t="inlineStr">
        <is>
          <t>2026-09-02(수)</t>
        </is>
      </c>
      <c r="H24" s="122" t="inlineStr">
        <is>
          <t>신규, 문서정합성 최종점검</t>
        </is>
      </c>
    </row>
    <row r="25" ht="33.75" customHeight="1" s="89">
      <c r="A25" s="121" t="inlineStr">
        <is>
          <t>1</t>
        </is>
      </c>
      <c r="B25" s="122" t="inlineStr">
        <is>
          <t>데이터모델 설계(P0)</t>
        </is>
      </c>
      <c r="C25" s="122" t="inlineStr">
        <is>
          <t>기획서 최종 검토 및 다듬기</t>
        </is>
      </c>
      <c r="D25" s="124" t="inlineStr">
        <is>
          <t>최상</t>
        </is>
      </c>
      <c r="E25" s="124" t="inlineStr">
        <is>
          <t>완료</t>
        </is>
      </c>
      <c r="F25" s="122" t="inlineStr">
        <is>
          <t>본인 — Claude(대화로 검토·설계 보조)</t>
        </is>
      </c>
      <c r="G25" s="121" t="inlineStr">
        <is>
          <t>2026-09-02(수)</t>
        </is>
      </c>
      <c r="H25" s="122" t="inlineStr">
        <is>
          <t>신규, 외부제출마감</t>
        </is>
      </c>
    </row>
    <row r="26" ht="33.75" customHeight="1" s="89">
      <c r="A26" s="121" t="inlineStr">
        <is>
          <t>1</t>
        </is>
      </c>
      <c r="B26" s="122" t="inlineStr">
        <is>
          <t>데이터모델 설계(P0)</t>
        </is>
      </c>
      <c r="C26" s="123" t="inlineStr">
        <is>
          <t>Azure Cloud 서비스 확인 완료 → Render로 최종 확정(Azure 전환 안함)</t>
        </is>
      </c>
      <c r="D26" s="124" t="inlineStr">
        <is>
          <t>상</t>
        </is>
      </c>
      <c r="E26" s="124" t="inlineStr">
        <is>
          <t>완료</t>
        </is>
      </c>
      <c r="F26" s="122" t="inlineStr">
        <is>
          <t>본인 — Claude(대화로 검토·설계 보조)</t>
        </is>
      </c>
      <c r="G26" s="121" t="inlineStr">
        <is>
          <t>2026-09-02(수)</t>
        </is>
      </c>
      <c r="H26" s="122" t="inlineStr">
        <is>
          <t>신규, 배포전략 확정</t>
        </is>
      </c>
    </row>
    <row r="27" ht="33.75" customHeight="1" s="89">
      <c r="A27" s="121" t="inlineStr">
        <is>
          <t>1</t>
        </is>
      </c>
      <c r="B27" s="122" t="inlineStr">
        <is>
          <t>데이터모델 설계(P0)</t>
        </is>
      </c>
      <c r="C27" s="123" t="inlineStr">
        <is>
          <t>Google AI Studio 무료 Gemini API키 미리 발급(백업용, 5분 소요, 스택변경 아님)</t>
        </is>
      </c>
      <c r="D27" s="124" t="inlineStr">
        <is>
          <t>하</t>
        </is>
      </c>
      <c r="E27" s="124" t="inlineStr">
        <is>
          <t>완료</t>
        </is>
      </c>
      <c r="F27" s="122" t="inlineStr">
        <is>
          <t>본인 — Claude(대화로 검토·설계 보조)</t>
        </is>
      </c>
      <c r="G27" s="121" t="inlineStr">
        <is>
          <t>2026-09-02(수)</t>
        </is>
      </c>
      <c r="H27" s="122" t="inlineStr">
        <is>
          <t>신규, 보류결정이나 만일대비 확보</t>
        </is>
      </c>
    </row>
    <row r="28" ht="33.75" customHeight="1" s="89">
      <c r="A28" s="121" t="inlineStr">
        <is>
          <t>1</t>
        </is>
      </c>
      <c r="B28" s="122" t="inlineStr">
        <is>
          <t>데이터모델 설계(P0)</t>
        </is>
      </c>
      <c r="C28" s="122" t="inlineStr">
        <is>
          <t>✅ 기획서 제출(오전 11시 마감 — 주제/선정이유/일정표/기술스택 포함)</t>
        </is>
      </c>
      <c r="D28" s="124" t="inlineStr">
        <is>
          <t>최상</t>
        </is>
      </c>
      <c r="E28" s="124" t="inlineStr">
        <is>
          <t>완료</t>
        </is>
      </c>
      <c r="F28" s="122" t="inlineStr">
        <is>
          <t>본인 — Claude(대화로 검토·설계 보조)</t>
        </is>
      </c>
      <c r="G28" s="121" t="inlineStr">
        <is>
          <t>2026-09-03(목)</t>
        </is>
      </c>
      <c r="H28" s="122" t="inlineStr">
        <is>
          <t>신규, 외부마감 최우선</t>
        </is>
      </c>
    </row>
    <row r="29" ht="33.75" customHeight="1" s="89">
      <c r="A29" s="121" t="inlineStr">
        <is>
          <t>1</t>
        </is>
      </c>
      <c r="B29" s="122" t="inlineStr">
        <is>
          <t>데이터모델 설계(P0)</t>
        </is>
      </c>
      <c r="C29" s="123" t="inlineStr">
        <is>
          <t>ERD 다이어그램 작성(전체 엔티티 관계도)</t>
        </is>
      </c>
      <c r="D29" s="124" t="inlineStr">
        <is>
          <t>상</t>
        </is>
      </c>
      <c r="E29" s="124" t="inlineStr">
        <is>
          <t>완료</t>
        </is>
      </c>
      <c r="F29" s="130" t="inlineStr">
        <is>
          <t>본인 — Gemini(검토·콘텐츠 초안 보조)</t>
        </is>
      </c>
      <c r="G29" s="121" t="inlineStr">
        <is>
          <t>2026-09-03(목)</t>
        </is>
      </c>
      <c r="H29" s="122" t="inlineStr">
        <is>
          <t>신규</t>
        </is>
      </c>
    </row>
    <row r="30" ht="33.75" customHeight="1" s="89">
      <c r="A30" s="121" t="inlineStr">
        <is>
          <t>1</t>
        </is>
      </c>
      <c r="B30" s="122" t="inlineStr">
        <is>
          <t>데이터모델 설계(P0)</t>
        </is>
      </c>
      <c r="C30" s="123" t="inlineStr">
        <is>
          <t>API Contract(엔드포인트 목록·요청/응답 스펙) 정의</t>
        </is>
      </c>
      <c r="D30" s="124" t="inlineStr">
        <is>
          <t>상</t>
        </is>
      </c>
      <c r="E30" s="124" t="inlineStr">
        <is>
          <t>완료</t>
        </is>
      </c>
      <c r="F30" s="130" t="inlineStr">
        <is>
          <t>본인 — Gemini(검토·콘텐츠 초안 보조)</t>
        </is>
      </c>
      <c r="G30" s="121" t="inlineStr">
        <is>
          <t>2026-09-03(목)</t>
        </is>
      </c>
      <c r="H30" s="122" t="inlineStr">
        <is>
          <t>신규</t>
        </is>
      </c>
    </row>
    <row r="31" ht="33.75" customHeight="1" s="89">
      <c r="A31" s="121" t="inlineStr">
        <is>
          <t>1</t>
        </is>
      </c>
      <c r="B31" s="122" t="inlineStr">
        <is>
          <t>데이터모델 설계(P0)</t>
        </is>
      </c>
      <c r="C31" s="122" t="inlineStr">
        <is>
          <t>상태전이/이벤트 구조 다이어그램 정리(예약→청소→정산→알림 연결)</t>
        </is>
      </c>
      <c r="D31" s="124" t="inlineStr">
        <is>
          <t>상</t>
        </is>
      </c>
      <c r="E31" s="124" t="inlineStr">
        <is>
          <t>완료</t>
        </is>
      </c>
      <c r="F31" s="130" t="inlineStr">
        <is>
          <t>본인 — Gemini(검토·콘텐츠 초안 보조)</t>
        </is>
      </c>
      <c r="G31" s="121" t="inlineStr">
        <is>
          <t>2026-09-03(목)</t>
        </is>
      </c>
      <c r="H31" s="122" t="inlineStr">
        <is>
          <t>신규</t>
        </is>
      </c>
    </row>
    <row r="32" ht="33.75" customHeight="1" s="89">
      <c r="A32" s="131" t="inlineStr">
        <is>
          <t>1</t>
        </is>
      </c>
      <c r="B32" s="132" t="inlineStr">
        <is>
          <t>데이터모델 설계(P0)</t>
        </is>
      </c>
      <c r="C32" s="133" t="inlineStr">
        <is>
          <t>✅ 1단계 검증: 스키마+ERD+API Contract 대조 확인</t>
        </is>
      </c>
      <c r="D32" s="134" t="inlineStr">
        <is>
          <t>최상</t>
        </is>
      </c>
      <c r="E32" s="134" t="inlineStr">
        <is>
          <t>완료</t>
        </is>
      </c>
      <c r="F32" s="132" t="inlineStr">
        <is>
          <t>본인 — Gemini(교차검증 보조)</t>
        </is>
      </c>
      <c r="G32" s="131" t="inlineStr">
        <is>
          <t>2026-09-04(금)</t>
        </is>
      </c>
      <c r="H32" s="132" t="inlineStr">
        <is>
          <t>검증</t>
        </is>
      </c>
    </row>
    <row r="33" ht="33.75" customHeight="1" s="89">
      <c r="A33" s="121" t="inlineStr">
        <is>
          <t>1.5</t>
        </is>
      </c>
      <c r="B33" s="123" t="inlineStr">
        <is>
          <t>UI/UX 설계</t>
        </is>
      </c>
      <c r="C33" s="122" t="inlineStr">
        <is>
          <t>전체 화면목록 확정(로그인·회원가입·온보딩2스텝·대시보드·캘린더·AI인박스·액션센터·청소·정산·컴플라이언스(설정탭)·지식베이스·설정)</t>
        </is>
      </c>
      <c r="D33" s="124" t="inlineStr">
        <is>
          <t>최상</t>
        </is>
      </c>
      <c r="E33" s="124" t="inlineStr">
        <is>
          <t>완료</t>
        </is>
      </c>
      <c r="F33" s="130" t="inlineStr">
        <is>
          <t>본인 — Gemini(검토·콘텐츠 초안 보조)</t>
        </is>
      </c>
      <c r="G33" s="121" t="inlineStr">
        <is>
          <t>2026-09-07(월)</t>
        </is>
      </c>
      <c r="H33" s="122" t="inlineStr">
        <is>
          <t>신규, 누락발견 반영</t>
        </is>
      </c>
    </row>
    <row r="34" ht="33.75" customHeight="1" s="89">
      <c r="A34" s="121" t="inlineStr">
        <is>
          <t>1.5</t>
        </is>
      </c>
      <c r="B34" s="123" t="inlineStr">
        <is>
          <t>UI/UX 설계</t>
        </is>
      </c>
      <c r="C34" s="123" t="inlineStr">
        <is>
          <t>User Flow 다이어그램 작성(화면간 이동 구조)</t>
        </is>
      </c>
      <c r="D34" s="124" t="inlineStr">
        <is>
          <t>상</t>
        </is>
      </c>
      <c r="E34" s="124" t="inlineStr">
        <is>
          <t>완료</t>
        </is>
      </c>
      <c r="F34" s="130" t="inlineStr">
        <is>
          <t>본인 — Gemini(검토·콘텐츠 초안 보조)</t>
        </is>
      </c>
      <c r="G34" s="121" t="inlineStr">
        <is>
          <t>2026-09-09(수)</t>
        </is>
      </c>
      <c r="H34" s="122" t="inlineStr">
        <is>
          <t>신규</t>
        </is>
      </c>
    </row>
    <row r="35" ht="33.75" customHeight="1" s="89">
      <c r="A35" s="121" t="inlineStr">
        <is>
          <t>1.5</t>
        </is>
      </c>
      <c r="B35" s="123" t="inlineStr">
        <is>
          <t>UI/UX 설계</t>
        </is>
      </c>
      <c r="C35" s="122" t="inlineStr">
        <is>
          <t>핵심 화면 와이어프레임 제작(대시보드·예약모달·AI인박스·정산·온보딩)</t>
        </is>
      </c>
      <c r="D35" s="124" t="inlineStr">
        <is>
          <t>최상</t>
        </is>
      </c>
      <c r="E35" s="124" t="inlineStr">
        <is>
          <t>완료</t>
        </is>
      </c>
      <c r="F35" s="130" t="inlineStr">
        <is>
          <t>본인 — Gemini(검토·콘텐츠 초안 보조)</t>
        </is>
      </c>
      <c r="G35" s="121" t="inlineStr">
        <is>
          <t>2026-09-07(월)</t>
        </is>
      </c>
      <c r="H35" s="122" t="inlineStr">
        <is>
          <t>신규</t>
        </is>
      </c>
    </row>
    <row r="36" ht="33.75" customHeight="1" s="89">
      <c r="A36" s="121" t="inlineStr">
        <is>
          <t>1.5</t>
        </is>
      </c>
      <c r="B36" s="123" t="inlineStr">
        <is>
          <t>UI/UX 설계</t>
        </is>
      </c>
      <c r="C36" s="122" t="inlineStr">
        <is>
          <t>디자인시스템 공통 컴포넌트 정의(Header/Sidebar/Card/Badge/Modal/Toast/Loading/EmptyState)</t>
        </is>
      </c>
      <c r="D36" s="124" t="inlineStr">
        <is>
          <t>최상</t>
        </is>
      </c>
      <c r="E36" s="124" t="inlineStr">
        <is>
          <t>완료</t>
        </is>
      </c>
      <c r="F36" s="130" t="inlineStr">
        <is>
          <t>본인 — Gemini(검토·콘텐츠 초안 보조)</t>
        </is>
      </c>
      <c r="G36" s="121" t="inlineStr">
        <is>
          <t>2026-09-07(월)</t>
        </is>
      </c>
      <c r="H36" s="122" t="inlineStr">
        <is>
          <t>신규, 4가지 상태(LOADING/SUCCESS/EMPTY/ERROR) 포함</t>
        </is>
      </c>
    </row>
    <row r="37" ht="33.75" customHeight="1" s="89">
      <c r="A37" s="121" t="inlineStr">
        <is>
          <t>1.5</t>
        </is>
      </c>
      <c r="B37" s="123" t="inlineStr">
        <is>
          <t>UI/UX 설계</t>
        </is>
      </c>
      <c r="C37" s="122" t="inlineStr">
        <is>
          <t>회원가입/로그인 화면+API 설계(JWT)</t>
        </is>
      </c>
      <c r="D37" s="124" t="inlineStr">
        <is>
          <t>최상</t>
        </is>
      </c>
      <c r="E37" s="124" t="inlineStr">
        <is>
          <t>완료</t>
        </is>
      </c>
      <c r="F37" s="122" t="inlineStr">
        <is>
          <t>본인 — Claude Code(터미널 직접실행 권장)</t>
        </is>
      </c>
      <c r="G37" s="121" t="inlineStr">
        <is>
          <t>2026-09-09(수)</t>
        </is>
      </c>
      <c r="H37" s="122" t="inlineStr">
        <is>
          <t>신규, 기능명세엔 있었으나 체크리스트에서 누락됐던 항목</t>
        </is>
      </c>
    </row>
    <row r="38" ht="33.75" customHeight="1" s="89">
      <c r="A38" s="131" t="inlineStr">
        <is>
          <t>1.5</t>
        </is>
      </c>
      <c r="B38" s="133" t="inlineStr">
        <is>
          <t>UI/UX 설계</t>
        </is>
      </c>
      <c r="C38" s="133" t="inlineStr">
        <is>
          <t>✅ 1.5단계 검증: 와이어프레임 실제 흐름대로 클릭 시뮬레이션 리뷰</t>
        </is>
      </c>
      <c r="D38" s="134" t="inlineStr">
        <is>
          <t>최상</t>
        </is>
      </c>
      <c r="E38" s="134" t="inlineStr">
        <is>
          <t>완료</t>
        </is>
      </c>
      <c r="F38" s="132" t="inlineStr">
        <is>
          <t>본인 — Gemini(교차검증 보조)</t>
        </is>
      </c>
      <c r="G38" s="131" t="inlineStr">
        <is>
          <t>2026-09-09(수)</t>
        </is>
      </c>
      <c r="H38" s="132" t="inlineStr">
        <is>
          <t>검증</t>
        </is>
      </c>
    </row>
    <row r="39" ht="33.75" customHeight="1" s="89">
      <c r="A39" s="121" t="inlineStr">
        <is>
          <t>2</t>
        </is>
      </c>
      <c r="B39" s="122" t="inlineStr">
        <is>
          <t>기반 인프라</t>
        </is>
      </c>
      <c r="C39" s="122" t="inlineStr">
        <is>
          <t>로컬 개발 DB를 Docker Postgres로 전환 결정 및 세팅(MariaDB 대신, 문법불일치 리스크 원천차단)</t>
        </is>
      </c>
      <c r="D39" s="124" t="inlineStr">
        <is>
          <t>최상</t>
        </is>
      </c>
      <c r="E39" s="124" t="inlineStr">
        <is>
          <t>완료</t>
        </is>
      </c>
      <c r="F39" s="122" t="inlineStr">
        <is>
          <t>본인 — Claude Code(터미널 직접실행 권장)</t>
        </is>
      </c>
      <c r="G39" s="121" t="inlineStr">
        <is>
          <t>2026-09-05(토)</t>
        </is>
      </c>
      <c r="H39" s="122" t="inlineStr">
        <is>
          <t>신규, MariaDB↔Postgres 이원화 리스크 제거</t>
        </is>
      </c>
    </row>
    <row r="40" ht="33.75" customHeight="1" s="89">
      <c r="A40" s="125" t="inlineStr">
        <is>
          <t>2</t>
        </is>
      </c>
      <c r="B40" s="126" t="inlineStr">
        <is>
          <t>기반 인프라</t>
        </is>
      </c>
      <c r="C40" s="127" t="inlineStr">
        <is>
          <t>DB 스키마 구현(위 P0 설계 반영)</t>
        </is>
      </c>
      <c r="D40" s="128" t="inlineStr">
        <is>
          <t>최상</t>
        </is>
      </c>
      <c r="E40" s="128" t="inlineStr">
        <is>
          <t>완료</t>
        </is>
      </c>
      <c r="F40" s="126" t="inlineStr">
        <is>
          <t>본인 — Claude Code(터미널 직접실행 권장)</t>
        </is>
      </c>
      <c r="G40" s="125" t="inlineStr">
        <is>
          <t>2026-09-05(토)</t>
        </is>
      </c>
      <c r="H40" s="126" t="n"/>
    </row>
    <row r="41" ht="33.75" customHeight="1" s="89">
      <c r="A41" s="121" t="inlineStr">
        <is>
          <t>2</t>
        </is>
      </c>
      <c r="B41" s="122" t="inlineStr">
        <is>
          <t>기반 인프라</t>
        </is>
      </c>
      <c r="C41" s="123" t="inlineStr">
        <is>
          <t>GET /health 헬스체크 엔드포인트 구현(DB조회없이 즉시 응답, Render 슬립방지용 UptimeRobot 핑 대상)</t>
        </is>
      </c>
      <c r="D41" s="124" t="inlineStr">
        <is>
          <t>상</t>
        </is>
      </c>
      <c r="E41" s="124" t="inlineStr">
        <is>
          <t>완료</t>
        </is>
      </c>
      <c r="F41" s="122" t="inlineStr">
        <is>
          <t>본인 — Claude Code(터미널 직접실행 권장)</t>
        </is>
      </c>
      <c r="G41" s="121" t="inlineStr">
        <is>
          <t>2026-09-05(토)</t>
        </is>
      </c>
      <c r="H41" s="122" t="inlineStr">
        <is>
          <t>신규, 9/3 API Contract v1.5 반영, 강사님 제안 검토로 발견</t>
        </is>
      </c>
    </row>
    <row r="42" ht="33.75" customHeight="1" s="89">
      <c r="A42" s="121" t="inlineStr">
        <is>
          <t>2</t>
        </is>
      </c>
      <c r="B42" s="122" t="inlineStr">
        <is>
          <t>기반 인프라</t>
        </is>
      </c>
      <c r="C42" s="123" t="inlineStr">
        <is>
          <t>.env/.gitignore 초기 설정(API키·DB접속정보 분리, git 커밋 전 필수)</t>
        </is>
      </c>
      <c r="D42" s="124" t="inlineStr">
        <is>
          <t>최상</t>
        </is>
      </c>
      <c r="E42" s="124" t="inlineStr">
        <is>
          <t>완료</t>
        </is>
      </c>
      <c r="F42" s="122" t="inlineStr">
        <is>
          <t>본인 — Claude Code(터미널 직접실행 권장)</t>
        </is>
      </c>
      <c r="G42" s="121" t="inlineStr">
        <is>
          <t>2026-09-05(토)</t>
        </is>
      </c>
      <c r="H42" s="122" t="inlineStr">
        <is>
          <t>신규, 보안 사전조치</t>
        </is>
      </c>
    </row>
    <row r="43" ht="33.75" customHeight="1" s="89">
      <c r="A43" s="121" t="inlineStr">
        <is>
          <t>6</t>
        </is>
      </c>
      <c r="B43" s="122" t="inlineStr">
        <is>
          <t>마무리</t>
        </is>
      </c>
      <c r="C43" s="122" t="inlineStr">
        <is>
          <t>녹화·편집 환경 설정(OBS 설정+편집툴 확정)</t>
        </is>
      </c>
      <c r="D43" s="124" t="inlineStr">
        <is>
          <t>중</t>
        </is>
      </c>
      <c r="E43" s="124" t="inlineStr">
        <is>
          <t>완료</t>
        </is>
      </c>
      <c r="F43" s="130" t="inlineStr">
        <is>
          <t>본인 — Gemini(검토·콘텐츠 초안 보조)</t>
        </is>
      </c>
      <c r="G43" s="121" t="inlineStr">
        <is>
          <t>2026-09-05(토)</t>
        </is>
      </c>
      <c r="H43" s="122" t="inlineStr">
        <is>
          <t>신규, 편집도구 Canva/VEED 배제→Clipchamp 확정, docs/video_recording_setup.md 참고</t>
        </is>
      </c>
    </row>
    <row r="44" ht="33.75" customHeight="1" s="89">
      <c r="A44" s="125" t="inlineStr">
        <is>
          <t>6</t>
        </is>
      </c>
      <c r="B44" s="126" t="inlineStr">
        <is>
          <t>마무리</t>
        </is>
      </c>
      <c r="C44" s="127" t="inlineStr">
        <is>
          <t>Clipchamp 10분 더미 영상 내보내기 테스트</t>
        </is>
      </c>
      <c r="D44" s="128" t="inlineStr">
        <is>
          <t>최상</t>
        </is>
      </c>
      <c r="E44" s="128" t="inlineStr">
        <is>
          <t>예정</t>
        </is>
      </c>
      <c r="F44" s="129" t="inlineStr">
        <is>
          <t>본인 — Gemini(검토·콘텐츠 초안 보조)</t>
        </is>
      </c>
      <c r="G44" s="125" t="inlineStr">
        <is>
          <t>2026-10-07(수)</t>
        </is>
      </c>
      <c r="H44" s="126" t="inlineStr">
        <is>
          <t>실패 시 Shotcut 전환</t>
        </is>
      </c>
    </row>
    <row r="45" ht="33.75" customHeight="1" s="89">
      <c r="A45" s="125" t="inlineStr">
        <is>
          <t>2</t>
        </is>
      </c>
      <c r="B45" s="126" t="inlineStr">
        <is>
          <t>기반 인프라</t>
        </is>
      </c>
      <c r="C45" s="126" t="inlineStr">
        <is>
          <t>통합 대시보드 뼈대(3~5개 숙소 한눈에 보기)</t>
        </is>
      </c>
      <c r="D45" s="128" t="inlineStr">
        <is>
          <t>상</t>
        </is>
      </c>
      <c r="E45" s="128" t="inlineStr">
        <is>
          <t>완료</t>
        </is>
      </c>
      <c r="F45" s="126" t="inlineStr">
        <is>
          <t>본인 — Claude Code(터미널 직접실행 권장)</t>
        </is>
      </c>
      <c r="G45" s="125" t="inlineStr">
        <is>
          <t>2026-09-08(화)</t>
        </is>
      </c>
      <c r="H45" s="126" t="inlineStr">
        <is>
          <t>Vite+React+TS+Tailwind 초기 세팅 포함(선행 작업, 별도 태스크 미생성). TypeScript로 구현하여 파일위치 .jsx→.tsx 정정.</t>
        </is>
      </c>
    </row>
    <row r="46" ht="33.75" customHeight="1" s="89">
      <c r="A46" s="125" t="inlineStr">
        <is>
          <t>2</t>
        </is>
      </c>
      <c r="B46" s="126" t="inlineStr">
        <is>
          <t>기반 인프라</t>
        </is>
      </c>
      <c r="C46" s="127" t="inlineStr">
        <is>
          <t>iCal 연동 + ChannelConnection 구현(sync_status/last_synced_at 표시)</t>
        </is>
      </c>
      <c r="D46" s="128" t="inlineStr">
        <is>
          <t>최상</t>
        </is>
      </c>
      <c r="E46" s="128" t="inlineStr">
        <is>
          <t>완료</t>
        </is>
      </c>
      <c r="F46" s="126" t="inlineStr">
        <is>
          <t>본인 — Claude Code(터미널 직접실행 권장)</t>
        </is>
      </c>
      <c r="G46" s="125" t="inlineStr">
        <is>
          <t>2026-09-10(목)</t>
        </is>
      </c>
      <c r="H46" s="126" t="inlineStr">
        <is>
          <t>실제 구현(Mock 아님)</t>
        </is>
      </c>
    </row>
    <row r="47" ht="33.75" customHeight="1" s="89">
      <c r="A47" s="121" t="inlineStr">
        <is>
          <t>2</t>
        </is>
      </c>
      <c r="B47" s="122" t="inlineStr">
        <is>
          <t>기반 인프라</t>
        </is>
      </c>
      <c r="C47" s="122" t="inlineStr">
        <is>
          <t>회원가입/로그인 화면+API 구현(JWT, 비밀번호는 bcrypt 해시로 저장)</t>
        </is>
      </c>
      <c r="D47" s="124" t="inlineStr">
        <is>
          <t>최상</t>
        </is>
      </c>
      <c r="E47" s="124" t="inlineStr">
        <is>
          <t>완료</t>
        </is>
      </c>
      <c r="F47" s="122" t="inlineStr">
        <is>
          <t>본인 — Claude Code(터미널 직접실행 권장)</t>
        </is>
      </c>
      <c r="G47" s="121" t="inlineStr">
        <is>
          <t>2026-09-11(금)</t>
        </is>
      </c>
      <c r="H47" s="122" t="inlineStr">
        <is>
          <t>신규</t>
        </is>
      </c>
    </row>
    <row r="48" ht="33.75" customHeight="1" s="89">
      <c r="A48" s="125" t="inlineStr">
        <is>
          <t>2</t>
        </is>
      </c>
      <c r="B48" s="126" t="inlineStr">
        <is>
          <t>기반 인프라</t>
        </is>
      </c>
      <c r="C48" s="126" t="inlineStr">
        <is>
          <t>통합 캘린더 뷰: 독채=Property행 / 호스텔=Room 아코디언-Bed행</t>
        </is>
      </c>
      <c r="D48" s="128" t="inlineStr">
        <is>
          <t>상</t>
        </is>
      </c>
      <c r="E48" s="128" t="inlineStr">
        <is>
          <t>완료</t>
        </is>
      </c>
      <c r="F48" s="126" t="inlineStr">
        <is>
          <t>본인 — Claude Code(터미널 직접실행 권장)</t>
        </is>
      </c>
      <c r="G48" s="125" t="inlineStr">
        <is>
          <t>2026-09-12(토)</t>
        </is>
      </c>
      <c r="H48" s="126" t="n"/>
    </row>
    <row r="49" ht="33.75" customHeight="1" s="89">
      <c r="A49" s="125" t="inlineStr">
        <is>
          <t>2</t>
        </is>
      </c>
      <c r="B49" s="126" t="inlineStr">
        <is>
          <t>기반 인프라</t>
        </is>
      </c>
      <c r="C49" s="127" t="inlineStr">
        <is>
          <t>iCal 동기화 시점 중복예약 충돌 감지 + 수동 새로고침 버튼</t>
        </is>
      </c>
      <c r="D49" s="128" t="inlineStr">
        <is>
          <t>상</t>
        </is>
      </c>
      <c r="E49" s="128" t="inlineStr">
        <is>
          <t>예정</t>
        </is>
      </c>
      <c r="F49" s="126" t="inlineStr">
        <is>
          <t>본인 — Claude Code(터미널 직접실행 권장)</t>
        </is>
      </c>
      <c r="G49" s="125" t="inlineStr">
        <is>
          <t>2026-09-12(토)</t>
        </is>
      </c>
      <c r="H49" s="127" t="inlineStr">
        <is>
          <t>'실시간' 표현 금지</t>
        </is>
      </c>
    </row>
    <row r="50" ht="33.75" customHeight="1" s="89">
      <c r="A50" s="125" t="inlineStr">
        <is>
          <t>2</t>
        </is>
      </c>
      <c r="B50" s="126" t="inlineStr">
        <is>
          <t>기반 인프라</t>
        </is>
      </c>
      <c r="C50" s="126" t="inlineStr">
        <is>
          <t>네이버예약 채널카드 UI '내보내기 전용' 표시</t>
        </is>
      </c>
      <c r="D50" s="128" t="inlineStr">
        <is>
          <t>중</t>
        </is>
      </c>
      <c r="E50" s="128" t="inlineStr">
        <is>
          <t>예정</t>
        </is>
      </c>
      <c r="F50" s="129" t="inlineStr">
        <is>
          <t>본인 — Gemini(검토·콘텐츠 초안 보조)</t>
        </is>
      </c>
      <c r="G50" s="125" t="inlineStr">
        <is>
          <t>2026-09-15(화)</t>
        </is>
      </c>
      <c r="H50" s="126" t="inlineStr">
        <is>
          <t>네이버는 iCal 가져오기 미지원</t>
        </is>
      </c>
    </row>
    <row r="51" ht="33.75" customHeight="1" s="89">
      <c r="A51" s="121" t="inlineStr">
        <is>
          <t>2</t>
        </is>
      </c>
      <c r="B51" s="122" t="inlineStr">
        <is>
          <t>기반 인프라</t>
        </is>
      </c>
      <c r="C51" s="122" t="inlineStr">
        <is>
          <t>채널연결(iCal URL) 실패시 에러 안내 UI(잘못된 URL/파싱실패 케이스)</t>
        </is>
      </c>
      <c r="D51" s="124" t="inlineStr">
        <is>
          <t>상</t>
        </is>
      </c>
      <c r="E51" s="124" t="inlineStr">
        <is>
          <t>예정</t>
        </is>
      </c>
      <c r="F51" s="122" t="inlineStr">
        <is>
          <t>본인 — Claude Code(터미널 직접실행 권장)</t>
        </is>
      </c>
      <c r="G51" s="121" t="inlineStr">
        <is>
          <t>2026-09-16(수)</t>
        </is>
      </c>
      <c r="H51" s="122" t="inlineStr">
        <is>
          <t>신규, 예외UX</t>
        </is>
      </c>
    </row>
    <row r="52" ht="33.75" customHeight="1" s="89">
      <c r="A52" s="125" t="inlineStr">
        <is>
          <t>2</t>
        </is>
      </c>
      <c r="B52" s="126" t="inlineStr">
        <is>
          <t>기반 인프라</t>
        </is>
      </c>
      <c r="C52" s="127" t="inlineStr">
        <is>
          <t>Property 전체대여시 하위 Room 전체 블록 인터셉터 구현(본인 3룸숙소 핵심케이스)</t>
        </is>
      </c>
      <c r="D52" s="128" t="inlineStr">
        <is>
          <t>최상</t>
        </is>
      </c>
      <c r="E52" s="128" t="inlineStr">
        <is>
          <t>완료</t>
        </is>
      </c>
      <c r="F52" s="126" t="inlineStr">
        <is>
          <t>본인 — Claude Code(터미널 직접실행 권장)</t>
        </is>
      </c>
      <c r="G52" s="125" t="inlineStr">
        <is>
          <t>2026-09-14(월)</t>
        </is>
      </c>
      <c r="H52" s="126" t="n"/>
    </row>
    <row r="53" ht="33.75" customHeight="1" s="89">
      <c r="A53" s="125" t="inlineStr">
        <is>
          <t>2</t>
        </is>
      </c>
      <c r="B53" s="126" t="inlineStr">
        <is>
          <t>기반 인프라</t>
        </is>
      </c>
      <c r="C53" s="127" t="inlineStr">
        <is>
          <t>Room 전체대여시 하위 Bed 전체 블록 인터셉터 구현(호스텔 확장용)</t>
        </is>
      </c>
      <c r="D53" s="128" t="inlineStr">
        <is>
          <t>중</t>
        </is>
      </c>
      <c r="E53" s="128" t="inlineStr">
        <is>
          <t>완료</t>
        </is>
      </c>
      <c r="F53" s="129" t="inlineStr">
        <is>
          <t>본인 — Claude Code(구현) / Gemini(검토)</t>
        </is>
      </c>
      <c r="G53" s="125" t="inlineStr">
        <is>
          <t>2026-09-14(월)</t>
        </is>
      </c>
      <c r="H53" s="127" t="inlineStr">
        <is>
          <t>1차 데모 강조점 아님</t>
        </is>
      </c>
    </row>
    <row r="54" ht="33.75" customHeight="1" s="89">
      <c r="A54" s="131" t="inlineStr">
        <is>
          <t>2</t>
        </is>
      </c>
      <c r="B54" s="132" t="inlineStr">
        <is>
          <t>기반 인프라</t>
        </is>
      </c>
      <c r="C54" s="133" t="inlineStr">
        <is>
          <t>EXCLUDE USING GIST 겹침방지 제약조건 실제동작 테스트(겹침예약 insert시 DB레벨 차단 확인)</t>
        </is>
      </c>
      <c r="D54" s="134" t="inlineStr">
        <is>
          <t>상</t>
        </is>
      </c>
      <c r="E54" s="134" t="inlineStr">
        <is>
          <t>완료</t>
        </is>
      </c>
      <c r="F54" s="132" t="inlineStr">
        <is>
          <t>본인 — Gemini(교차검증 보조)</t>
        </is>
      </c>
      <c r="G54" s="131" t="inlineStr">
        <is>
          <t>2026-09-14(월)</t>
        </is>
      </c>
      <c r="H54" s="132" t="inlineStr">
        <is>
          <t>신규, 배포환경 검증</t>
        </is>
      </c>
    </row>
    <row r="55" ht="33.75" customHeight="1" s="89">
      <c r="A55" s="131" t="inlineStr">
        <is>
          <t>2</t>
        </is>
      </c>
      <c r="B55" s="132" t="inlineStr">
        <is>
          <t>기반 인프라</t>
        </is>
      </c>
      <c r="C55" s="133" t="inlineStr">
        <is>
          <t>✅ 2단계 검증: 실제 iCal URL로 캘린더 반영·중복감지 정상동작 확인</t>
        </is>
      </c>
      <c r="D55" s="134" t="inlineStr">
        <is>
          <t>최상</t>
        </is>
      </c>
      <c r="E55" s="134" t="inlineStr">
        <is>
          <t>예정</t>
        </is>
      </c>
      <c r="F55" s="132" t="inlineStr">
        <is>
          <t>본인 — Gemini(교차검증 보조)</t>
        </is>
      </c>
      <c r="G55" s="131" t="inlineStr">
        <is>
          <t>2026-09-15(화)</t>
        </is>
      </c>
      <c r="H55" s="132" t="inlineStr">
        <is>
          <t>검증</t>
        </is>
      </c>
    </row>
    <row r="56" ht="33.75" customHeight="1" s="89">
      <c r="A56" s="125" t="inlineStr">
        <is>
          <t>6</t>
        </is>
      </c>
      <c r="B56" s="126" t="inlineStr">
        <is>
          <t>마무리</t>
        </is>
      </c>
      <c r="C56" s="127" t="inlineStr">
        <is>
          <t>Vercel+Render+Supabase 스테이징=프로덕션 서비스 생성(뼈대 프로젝트로 CORS/env 연결 테스트, 10/8에 그대로 정식승격)</t>
        </is>
      </c>
      <c r="D56" s="128" t="inlineStr">
        <is>
          <t>최상</t>
        </is>
      </c>
      <c r="E56" s="128" t="inlineStr">
        <is>
          <t>예정</t>
        </is>
      </c>
      <c r="F56" s="126" t="inlineStr">
        <is>
          <t>본인 — Claude Code(터미널 직접실행 권장)</t>
        </is>
      </c>
      <c r="G56" s="125" t="inlineStr">
        <is>
          <t>2026-10-01(목)</t>
        </is>
      </c>
      <c r="H56" s="126" t="inlineStr">
        <is>
          <t>정정(원래9/16→10/1), 750시간 한도 보존 위해 너무 일찍 만들지 않음, 카테고리도 기반인프라→마무리로 재분류(날짜범위 왜곡방지)</t>
        </is>
      </c>
    </row>
    <row r="57" ht="33.75" customHeight="1" s="89">
      <c r="A57" s="131" t="inlineStr">
        <is>
          <t>6</t>
        </is>
      </c>
      <c r="B57" s="132" t="inlineStr">
        <is>
          <t>마무리</t>
        </is>
      </c>
      <c r="C57" s="133" t="inlineStr">
        <is>
          <t>.env.production 환경변수 설정(Vercel/Render/Supabase 키 분리)</t>
        </is>
      </c>
      <c r="D57" s="134" t="inlineStr">
        <is>
          <t>상</t>
        </is>
      </c>
      <c r="E57" s="134" t="inlineStr">
        <is>
          <t>예정</t>
        </is>
      </c>
      <c r="F57" s="132" t="inlineStr">
        <is>
          <t>본인 — Gemini(교차검증 보조)</t>
        </is>
      </c>
      <c r="G57" s="131" t="inlineStr">
        <is>
          <t>2026-10-01(목)</t>
        </is>
      </c>
      <c r="H57" s="132" t="inlineStr">
        <is>
          <t>정정(원래9/16→10/1), 배포환경 검증, 카테고리 재분류</t>
        </is>
      </c>
    </row>
    <row r="58" ht="33.75" customHeight="1" s="89">
      <c r="A58" s="121" t="inlineStr">
        <is>
          <t>2</t>
        </is>
      </c>
      <c r="B58" s="122" t="inlineStr">
        <is>
          <t>기반 인프라</t>
        </is>
      </c>
      <c r="C58" s="122" t="inlineStr">
        <is>
          <t>로딩/에러/빈상태 공통 컴포넌트 적용 시작(캘린더 화면)</t>
        </is>
      </c>
      <c r="D58" s="124" t="inlineStr">
        <is>
          <t>상</t>
        </is>
      </c>
      <c r="E58" s="124" t="inlineStr">
        <is>
          <t>완료</t>
        </is>
      </c>
      <c r="F58" s="122" t="inlineStr">
        <is>
          <t>본인 — Claude Code(터미널 직접실행 권장)</t>
        </is>
      </c>
      <c r="G58" s="121" t="inlineStr">
        <is>
          <t>2026-09-16(수)</t>
        </is>
      </c>
      <c r="H58" s="122" t="inlineStr">
        <is>
          <t>신규, Empty/Error UX · 9/14 완료(d181f34)</t>
        </is>
      </c>
    </row>
    <row r="59" ht="33.75" customHeight="1" s="89">
      <c r="A59" s="125" t="inlineStr">
        <is>
          <t>3</t>
        </is>
      </c>
      <c r="B59" s="126" t="inlineStr">
        <is>
          <t>고객 응대 자동화</t>
        </is>
      </c>
      <c r="C59" s="126" t="inlineStr">
        <is>
          <t>자체 통합 인박스(게스트 채팅 시뮬레이터 UI)</t>
        </is>
      </c>
      <c r="D59" s="128" t="inlineStr">
        <is>
          <t>최상</t>
        </is>
      </c>
      <c r="E59" s="128" t="inlineStr">
        <is>
          <t>예정</t>
        </is>
      </c>
      <c r="F59" s="126" t="inlineStr">
        <is>
          <t>본인 — Claude Code(터미널 직접실행 권장)</t>
        </is>
      </c>
      <c r="G59" s="125" t="inlineStr">
        <is>
          <t>2026-09-17(목)</t>
        </is>
      </c>
      <c r="H59" s="127" t="inlineStr">
        <is>
          <t>Mock UI</t>
        </is>
      </c>
    </row>
    <row r="60" ht="33.75" customHeight="1" s="89">
      <c r="A60" s="125" t="inlineStr">
        <is>
          <t>3</t>
        </is>
      </c>
      <c r="B60" s="126" t="inlineStr">
        <is>
          <t>고객 응대 자동화</t>
        </is>
      </c>
      <c r="C60" s="126" t="inlineStr">
        <is>
          <t>숙소별 RAG 지식베이스 구축(로컬 벡터검색, LLM비용無) + property_id 스코프 격리 + 개발용 응답캐시(동일질문 반복시 API 미호출)</t>
        </is>
      </c>
      <c r="D60" s="128" t="inlineStr">
        <is>
          <t>최상</t>
        </is>
      </c>
      <c r="E60" s="128" t="inlineStr">
        <is>
          <t>예정</t>
        </is>
      </c>
      <c r="F60" s="129" t="inlineStr">
        <is>
          <t>본인 — Gemini(검토·콘텐츠 초안 보조)</t>
        </is>
      </c>
      <c r="G60" s="125" t="inlineStr">
        <is>
          <t>2026-09-18(금)</t>
        </is>
      </c>
      <c r="H60" s="126" t="inlineStr">
        <is>
          <t>실제 LLM 호출, 아키텍처: RAG검색(LLM비용0)→Claude 1회 통합호출(분류+위험도+다국어+근거 한번에 반환), 멀티스텝 분리 금지</t>
        </is>
      </c>
    </row>
    <row r="61" ht="33.75" customHeight="1" s="89">
      <c r="A61" s="121" t="inlineStr">
        <is>
          <t>3</t>
        </is>
      </c>
      <c r="B61" s="122" t="inlineStr">
        <is>
          <t>고객 응대 자동화</t>
        </is>
      </c>
      <c r="C61" s="123" t="inlineStr">
        <is>
          <t>Claude API 초기설정: $5 선충전 + 월 Spend Limit $10 설정 + Dev/Prod API키 분리</t>
        </is>
      </c>
      <c r="D61" s="124" t="inlineStr">
        <is>
          <t>최상</t>
        </is>
      </c>
      <c r="E61" s="124" t="inlineStr">
        <is>
          <t>완료</t>
        </is>
      </c>
      <c r="F61" s="122" t="inlineStr">
        <is>
          <t>본인 — Claude Code(터미널 직접실행 권장)</t>
        </is>
      </c>
      <c r="G61" s="121" t="inlineStr">
        <is>
          <t>2026-09-17(목)</t>
        </is>
      </c>
      <c r="H61" s="122" t="inlineStr">
        <is>
          <t>신규, 비용통제 1</t>
        </is>
      </c>
    </row>
    <row r="62" ht="33.75" customHeight="1" s="89">
      <c r="A62" s="121" t="inlineStr">
        <is>
          <t>3</t>
        </is>
      </c>
      <c r="B62" s="122" t="inlineStr">
        <is>
          <t>고객 응대 자동화</t>
        </is>
      </c>
      <c r="C62" s="123" t="inlineStr">
        <is>
          <t>LLM 응답 로딩/스켈레톤 UI(3~8초 지연 대응)</t>
        </is>
      </c>
      <c r="D62" s="124" t="inlineStr">
        <is>
          <t>상</t>
        </is>
      </c>
      <c r="E62" s="124" t="inlineStr">
        <is>
          <t>예정</t>
        </is>
      </c>
      <c r="F62" s="122" t="inlineStr">
        <is>
          <t>본인 — Claude Code(터미널 직접실행 권장)</t>
        </is>
      </c>
      <c r="G62" s="121" t="inlineStr">
        <is>
          <t>2026-09-18(금)</t>
        </is>
      </c>
      <c r="H62" s="122" t="inlineStr">
        <is>
          <t>신규, 비동기UX 누락발견 반영</t>
        </is>
      </c>
    </row>
    <row r="63" ht="33.75" customHeight="1" s="89">
      <c r="A63" s="121" t="inlineStr">
        <is>
          <t>3</t>
        </is>
      </c>
      <c r="B63" s="122" t="inlineStr">
        <is>
          <t>고객 응대 자동화</t>
        </is>
      </c>
      <c r="C63" s="123" t="inlineStr">
        <is>
          <t>AI 호출 재시도를 개별호출 2회로 제한(1문의=최대3 Claude호출) + 호출당 타임아웃(최초10초/재시도5초)</t>
        </is>
      </c>
      <c r="D63" s="124" t="inlineStr">
        <is>
          <t>최상</t>
        </is>
      </c>
      <c r="E63" s="124" t="inlineStr">
        <is>
          <t>예정</t>
        </is>
      </c>
      <c r="F63" s="122" t="inlineStr">
        <is>
          <t>본인 — Claude Code(터미널 직접실행 권장)</t>
        </is>
      </c>
      <c r="G63" s="121" t="inlineStr">
        <is>
          <t>2026-09-19(토)</t>
        </is>
      </c>
      <c r="H63" s="122" t="inlineStr">
        <is>
          <t>신규, 비용통제 2 — 2026-09-01 크로스체크로 1회→2회 상향 확정. 9/15 정정: LangGraph 전제 제거(CLAUDE.md가 StateGraph 도입 금지 — 단일 호출 구조)</t>
        </is>
      </c>
    </row>
    <row r="64" ht="33.75" customHeight="1" s="89">
      <c r="A64" s="121" t="inlineStr">
        <is>
          <t>3</t>
        </is>
      </c>
      <c r="B64" s="122" t="inlineStr">
        <is>
          <t>고객 응대 자동화</t>
        </is>
      </c>
      <c r="C64" s="123" t="inlineStr">
        <is>
          <t>AI 문의 엔드포인트 Rate Limit(IP당 분당10회) + LLM 사용량 로깅(토큰/지연/상태 기록)</t>
        </is>
      </c>
      <c r="D64" s="124" t="inlineStr">
        <is>
          <t>상</t>
        </is>
      </c>
      <c r="E64" s="124" t="inlineStr">
        <is>
          <t>예정</t>
        </is>
      </c>
      <c r="F64" s="122" t="inlineStr">
        <is>
          <t>본인 — Claude Code(터미널 직접실행 권장)</t>
        </is>
      </c>
      <c r="G64" s="121" t="inlineStr">
        <is>
          <t>2026-09-21(월)</t>
        </is>
      </c>
      <c r="H64" s="122" t="inlineStr">
        <is>
          <t>신규, 비용통제 3</t>
        </is>
      </c>
    </row>
    <row r="65" ht="33.75" customHeight="1" s="89">
      <c r="A65" s="121" t="inlineStr">
        <is>
          <t>3</t>
        </is>
      </c>
      <c r="B65" s="122" t="inlineStr">
        <is>
          <t>고객 응대 자동화</t>
        </is>
      </c>
      <c r="C65" s="123" t="inlineStr">
        <is>
          <t>AI/iCal 실패시 에러 Toast·Fallback 안내 처리</t>
        </is>
      </c>
      <c r="D65" s="124" t="inlineStr">
        <is>
          <t>상</t>
        </is>
      </c>
      <c r="E65" s="124" t="inlineStr">
        <is>
          <t>예정</t>
        </is>
      </c>
      <c r="F65" s="122" t="inlineStr">
        <is>
          <t>본인 — Claude Code(터미널 직접실행 권장)</t>
        </is>
      </c>
      <c r="G65" s="121" t="inlineStr">
        <is>
          <t>2026-09-23(수)</t>
        </is>
      </c>
      <c r="H65" s="122" t="inlineStr">
        <is>
          <t>신규</t>
        </is>
      </c>
    </row>
    <row r="66" ht="33.75" customHeight="1" s="89">
      <c r="A66" s="125" t="inlineStr">
        <is>
          <t>3</t>
        </is>
      </c>
      <c r="B66" s="126" t="inlineStr">
        <is>
          <t>고객 응대 자동화</t>
        </is>
      </c>
      <c r="C66" s="126" t="inlineStr">
        <is>
          <t>문의 자동분류(예약/체크인/컴플레인/일반)</t>
        </is>
      </c>
      <c r="D66" s="128" t="inlineStr">
        <is>
          <t>상</t>
        </is>
      </c>
      <c r="E66" s="128" t="inlineStr">
        <is>
          <t>예정</t>
        </is>
      </c>
      <c r="F66" s="126" t="inlineStr">
        <is>
          <t>본인 — Claude Code(터미널 직접실행 권장)</t>
        </is>
      </c>
      <c r="G66" s="125" t="inlineStr">
        <is>
          <t>2026-09-19(토)</t>
        </is>
      </c>
      <c r="H66" s="126" t="n"/>
    </row>
    <row r="67" ht="33.75" customHeight="1" s="89">
      <c r="A67" s="135" t="inlineStr">
        <is>
          <t>3</t>
        </is>
      </c>
      <c r="B67" s="136" t="inlineStr">
        <is>
          <t>고객 응대 자동화</t>
        </is>
      </c>
      <c r="C67" s="136" t="inlineStr">
        <is>
          <t>외국인 게스트 언어 자동감지 + 다국어(영/중/일) 응답 생성</t>
        </is>
      </c>
      <c r="D67" s="137" t="inlineStr">
        <is>
          <t>최상</t>
        </is>
      </c>
      <c r="E67" s="137" t="inlineStr">
        <is>
          <t>예정</t>
        </is>
      </c>
      <c r="F67" s="136" t="inlineStr">
        <is>
          <t>본인 — Claude Code(터미널 직접실행 권장)</t>
        </is>
      </c>
      <c r="G67" s="135" t="inlineStr">
        <is>
          <t>2026-09-21(월)</t>
        </is>
      </c>
      <c r="H67" s="136" t="inlineStr">
        <is>
          <t>★차별점</t>
        </is>
      </c>
    </row>
    <row r="68" ht="33.75" customHeight="1" s="89">
      <c r="A68" s="125" t="inlineStr">
        <is>
          <t>3</t>
        </is>
      </c>
      <c r="B68" s="126" t="inlineStr">
        <is>
          <t>고객 응대 자동화</t>
        </is>
      </c>
      <c r="C68" s="127" t="inlineStr">
        <is>
          <t>AI 답변 '근거' 표시 UI(참고 KB 나열) + 마크다운 렌더링 처리</t>
        </is>
      </c>
      <c r="D68" s="128" t="inlineStr">
        <is>
          <t>상</t>
        </is>
      </c>
      <c r="E68" s="128" t="inlineStr">
        <is>
          <t>예정</t>
        </is>
      </c>
      <c r="F68" s="126" t="inlineStr">
        <is>
          <t>본인 — Claude Code(터미널 직접실행 권장)</t>
        </is>
      </c>
      <c r="G68" s="125" t="inlineStr">
        <is>
          <t>2026-09-23(수)</t>
        </is>
      </c>
      <c r="H68" s="127" t="inlineStr">
        <is>
          <t>AI 텍스트 날것 노출 방지</t>
        </is>
      </c>
    </row>
    <row r="69" ht="33.75" customHeight="1" s="89">
      <c r="A69" s="125" t="inlineStr">
        <is>
          <t>3</t>
        </is>
      </c>
      <c r="B69" s="126" t="inlineStr">
        <is>
          <t>고객 응대 자동화</t>
        </is>
      </c>
      <c r="C69" s="126" t="inlineStr">
        <is>
          <t>위험도 분류 적용(자동:와이파이/체크인시간/주차/비번 vs 승인필요:환불/변경/할인/보상/민원/고장/안전)</t>
        </is>
      </c>
      <c r="D69" s="128" t="inlineStr">
        <is>
          <t>최상</t>
        </is>
      </c>
      <c r="E69" s="128" t="inlineStr">
        <is>
          <t>예정</t>
        </is>
      </c>
      <c r="F69" s="129" t="inlineStr">
        <is>
          <t>본인 — Gemini(검토·콘텐츠 초안 보조)</t>
        </is>
      </c>
      <c r="G69" s="125" t="inlineStr">
        <is>
          <t>2026-09-22(화)</t>
        </is>
      </c>
      <c r="H69" s="126" t="n"/>
    </row>
    <row r="70" ht="33.75" customHeight="1" s="89">
      <c r="A70" s="125" t="inlineStr">
        <is>
          <t>3</t>
        </is>
      </c>
      <c r="B70" s="126" t="inlineStr">
        <is>
          <t>고객 응대 자동화</t>
        </is>
      </c>
      <c r="C70" s="126" t="inlineStr">
        <is>
          <t>체크인/체크아웃 안내, 리뷰요청 자동화</t>
        </is>
      </c>
      <c r="D70" s="128" t="inlineStr">
        <is>
          <t>중</t>
        </is>
      </c>
      <c r="E70" s="128" t="inlineStr">
        <is>
          <t>예정</t>
        </is>
      </c>
      <c r="F70" s="126" t="inlineStr">
        <is>
          <t>본인 — Claude Code(터미널 직접실행 권장)</t>
        </is>
      </c>
      <c r="G70" s="125" t="inlineStr">
        <is>
          <t>2026-09-22(화)</t>
        </is>
      </c>
      <c r="H70" s="126" t="n"/>
    </row>
    <row r="71" ht="33.75" customHeight="1" s="89">
      <c r="A71" s="121" t="inlineStr">
        <is>
          <t>3</t>
        </is>
      </c>
      <c r="B71" s="122" t="inlineStr">
        <is>
          <t>고객 응대 자동화</t>
        </is>
      </c>
      <c r="C71" s="122" t="inlineStr">
        <is>
          <t>예약 상세화면→AI대화내역→Action Center 처리이력으로 이어지는 통합 딥링크/단일플로우 구현</t>
        </is>
      </c>
      <c r="D71" s="124" t="inlineStr">
        <is>
          <t>최상</t>
        </is>
      </c>
      <c r="E71" s="124" t="inlineStr">
        <is>
          <t>예정</t>
        </is>
      </c>
      <c r="F71" s="122" t="inlineStr">
        <is>
          <t>본인 — Claude Code(터미널 직접실행 권장)</t>
        </is>
      </c>
      <c r="G71" s="121" t="inlineStr">
        <is>
          <t>2026-09-23(수)</t>
        </is>
      </c>
      <c r="H71" s="123" t="inlineStr">
        <is>
          <t>[연장근무일] 신규, 위험1(Context Switch) 대응 — 화면이 따로 노는 'API조합툴'처럼 보이지 않게</t>
        </is>
      </c>
    </row>
    <row r="72" ht="33.75" customHeight="1" s="89">
      <c r="A72" s="121" t="inlineStr">
        <is>
          <t>3</t>
        </is>
      </c>
      <c r="B72" s="122" t="inlineStr">
        <is>
          <t>고객 응대 자동화</t>
        </is>
      </c>
      <c r="C72" s="122" t="inlineStr">
        <is>
          <t>중간 회귀체크포인트1: 1~3단계 기능 통합 재확인(예약→AI응대까지 흐름 재실행)</t>
        </is>
      </c>
      <c r="D72" s="124" t="inlineStr">
        <is>
          <t>상</t>
        </is>
      </c>
      <c r="E72" s="124" t="inlineStr">
        <is>
          <t>예정</t>
        </is>
      </c>
      <c r="F72" s="122" t="inlineStr">
        <is>
          <t>본인 — Claude Code(터미널 직접실행 권장)</t>
        </is>
      </c>
      <c r="G72" s="121" t="inlineStr">
        <is>
          <t>2026-09-23(수)</t>
        </is>
      </c>
      <c r="H72" s="123" t="inlineStr">
        <is>
          <t>[연장근무일] 신규, QA를 마지막에 몰지 않기</t>
        </is>
      </c>
    </row>
    <row r="73" ht="33.75" customHeight="1" s="89">
      <c r="A73" s="131" t="inlineStr">
        <is>
          <t>3</t>
        </is>
      </c>
      <c r="B73" s="132" t="inlineStr">
        <is>
          <t>고객 응대 자동화</t>
        </is>
      </c>
      <c r="C73" s="133" t="inlineStr">
        <is>
          <t>✅ 3단계 검증: 교차오답 테스트 + 의도적 API실패 유발후 에러UI 확인</t>
        </is>
      </c>
      <c r="D73" s="134" t="inlineStr">
        <is>
          <t>최상</t>
        </is>
      </c>
      <c r="E73" s="134" t="inlineStr">
        <is>
          <t>예정</t>
        </is>
      </c>
      <c r="F73" s="132" t="inlineStr">
        <is>
          <t>본인 — Gemini(교차검증 보조)</t>
        </is>
      </c>
      <c r="G73" s="131" t="inlineStr">
        <is>
          <t>2026-09-24(목)</t>
        </is>
      </c>
      <c r="H73" s="132" t="inlineStr">
        <is>
          <t>검증</t>
        </is>
      </c>
    </row>
    <row r="74" ht="33.75" customHeight="1" s="89">
      <c r="A74" s="125" t="inlineStr">
        <is>
          <t>4</t>
        </is>
      </c>
      <c r="B74" s="126" t="inlineStr">
        <is>
          <t>비대면 체크인</t>
        </is>
      </c>
      <c r="C74" s="126" t="inlineStr">
        <is>
          <t>예약확정시 임시 비밀번호 자동생성/만료 로직</t>
        </is>
      </c>
      <c r="D74" s="128" t="inlineStr">
        <is>
          <t>상</t>
        </is>
      </c>
      <c r="E74" s="128" t="inlineStr">
        <is>
          <t>예정</t>
        </is>
      </c>
      <c r="F74" s="126" t="inlineStr">
        <is>
          <t>본인 — Claude Code(터미널 직접실행 권장)</t>
        </is>
      </c>
      <c r="G74" s="125" t="inlineStr">
        <is>
          <t>2026-09-25(금)</t>
        </is>
      </c>
      <c r="H74" s="126" t="n"/>
    </row>
    <row r="75" ht="33.75" customHeight="1" s="89">
      <c r="A75" s="125" t="inlineStr">
        <is>
          <t>4</t>
        </is>
      </c>
      <c r="B75" s="126" t="inlineStr">
        <is>
          <t>비대면 체크인</t>
        </is>
      </c>
      <c r="C75" s="126" t="inlineStr">
        <is>
          <t>스마트락 100% Mock 확정 + '시뮬레이션' 뱃지 표시</t>
        </is>
      </c>
      <c r="D75" s="128" t="inlineStr">
        <is>
          <t>중</t>
        </is>
      </c>
      <c r="E75" s="128" t="inlineStr">
        <is>
          <t>예정</t>
        </is>
      </c>
      <c r="F75" s="126" t="inlineStr">
        <is>
          <t>본인 — Claude Code(터미널 직접실행 권장)</t>
        </is>
      </c>
      <c r="G75" s="125" t="inlineStr">
        <is>
          <t>2026-09-26(토)</t>
        </is>
      </c>
      <c r="H75" s="127" t="inlineStr">
        <is>
          <t>Real/Mock UI 구분표시 반영</t>
        </is>
      </c>
    </row>
    <row r="76" ht="33.75" customHeight="1" s="89">
      <c r="A76" s="125" t="inlineStr">
        <is>
          <t>4</t>
        </is>
      </c>
      <c r="B76" s="126" t="inlineStr">
        <is>
          <t>비대면 체크인</t>
        </is>
      </c>
      <c r="C76" s="127" t="inlineStr">
        <is>
          <t>Mock 락 상태 대시보드(잠김/열림/배터리)</t>
        </is>
      </c>
      <c r="D76" s="128" t="inlineStr">
        <is>
          <t>중</t>
        </is>
      </c>
      <c r="E76" s="128" t="inlineStr">
        <is>
          <t>예정</t>
        </is>
      </c>
      <c r="F76" s="126" t="inlineStr">
        <is>
          <t>본인 — Claude Code(터미널 직접실행 권장)</t>
        </is>
      </c>
      <c r="G76" s="125" t="inlineStr">
        <is>
          <t>2026-09-26(토)</t>
        </is>
      </c>
      <c r="H76" s="127" t="inlineStr">
        <is>
          <t>Mock</t>
        </is>
      </c>
    </row>
    <row r="77" ht="33.75" customHeight="1" s="89">
      <c r="A77" s="121" t="inlineStr">
        <is>
          <t>4</t>
        </is>
      </c>
      <c r="B77" s="122" t="inlineStr">
        <is>
          <t>청소·시설 관리</t>
        </is>
      </c>
      <c r="C77" s="122" t="inlineStr">
        <is>
          <t>예약확정 시점 청소작업 선제생성 로직(scheduled_at=체크아웃 시각, 9/3 크로스체크로 시점 정정 — 전날알림 기능 성립을 위해 필요)</t>
        </is>
      </c>
      <c r="D77" s="124" t="inlineStr">
        <is>
          <t>최상</t>
        </is>
      </c>
      <c r="E77" s="124" t="inlineStr">
        <is>
          <t>예정</t>
        </is>
      </c>
      <c r="F77" s="122" t="inlineStr">
        <is>
          <t>본인 — Claude Code(터미널 직접실행 권장)</t>
        </is>
      </c>
      <c r="G77" s="121" t="inlineStr">
        <is>
          <t>2026-09-25(금)</t>
        </is>
      </c>
      <c r="H77" s="122" t="inlineStr">
        <is>
          <t>신규, 생성시점 정정</t>
        </is>
      </c>
    </row>
    <row r="78" ht="33.75" customHeight="1" s="89">
      <c r="A78" s="125" t="inlineStr">
        <is>
          <t>4</t>
        </is>
      </c>
      <c r="B78" s="126" t="inlineStr">
        <is>
          <t>청소·시설 관리</t>
        </is>
      </c>
      <c r="C78" s="126" t="inlineStr">
        <is>
          <t>청소 상태머신 구현(PENDING→ASSIGNED→IN_PROGRESS→COMPLETED→VERIFIED/ISSUE)</t>
        </is>
      </c>
      <c r="D78" s="128" t="inlineStr">
        <is>
          <t>최상</t>
        </is>
      </c>
      <c r="E78" s="128" t="inlineStr">
        <is>
          <t>예정</t>
        </is>
      </c>
      <c r="F78" s="129" t="inlineStr">
        <is>
          <t>본인 — Gemini(검토·콘텐츠 초안 보조)</t>
        </is>
      </c>
      <c r="G78" s="125" t="inlineStr">
        <is>
          <t>2026-09-24(목)</t>
        </is>
      </c>
      <c r="H78" s="126" t="n"/>
    </row>
    <row r="79" ht="33.75" customHeight="1" s="89">
      <c r="A79" s="125" t="inlineStr">
        <is>
          <t>4</t>
        </is>
      </c>
      <c r="B79" s="126" t="inlineStr">
        <is>
          <t>청소·시설 관리</t>
        </is>
      </c>
      <c r="C79" s="126" t="inlineStr">
        <is>
          <t>예약변경시 청소시간 자동 재계산 로직</t>
        </is>
      </c>
      <c r="D79" s="128" t="inlineStr">
        <is>
          <t>상</t>
        </is>
      </c>
      <c r="E79" s="128" t="inlineStr">
        <is>
          <t>예정</t>
        </is>
      </c>
      <c r="F79" s="126" t="inlineStr">
        <is>
          <t>본인 — Claude Code(터미널 직접실행 권장)</t>
        </is>
      </c>
      <c r="G79" s="125" t="inlineStr">
        <is>
          <t>2026-09-25(금)</t>
        </is>
      </c>
      <c r="H79" s="126" t="n"/>
    </row>
    <row r="80" ht="33.75" customHeight="1" s="89">
      <c r="A80" s="121" t="inlineStr">
        <is>
          <t>4</t>
        </is>
      </c>
      <c r="B80" s="122" t="inlineStr">
        <is>
          <t>청소·시설 관리</t>
        </is>
      </c>
      <c r="C80" s="123" t="inlineStr">
        <is>
          <t>Empty State/에러처리 청소·체크인 화면 반영</t>
        </is>
      </c>
      <c r="D80" s="124" t="inlineStr">
        <is>
          <t>상</t>
        </is>
      </c>
      <c r="E80" s="124" t="inlineStr">
        <is>
          <t>예정</t>
        </is>
      </c>
      <c r="F80" s="122" t="inlineStr">
        <is>
          <t>본인 — Claude Code(터미널 직접실행 권장)</t>
        </is>
      </c>
      <c r="G80" s="121" t="inlineStr">
        <is>
          <t>2026-09-26(토)</t>
        </is>
      </c>
      <c r="H80" s="122" t="inlineStr">
        <is>
          <t>신규</t>
        </is>
      </c>
    </row>
    <row r="81" ht="33.75" customHeight="1" s="89">
      <c r="A81" s="125" t="inlineStr">
        <is>
          <t>4</t>
        </is>
      </c>
      <c r="B81" s="126" t="inlineStr">
        <is>
          <t>청소·시설 관리</t>
        </is>
      </c>
      <c r="C81" s="126" t="inlineStr">
        <is>
          <t>문자API(알리고 등) 청소업체 알림 자동발송</t>
        </is>
      </c>
      <c r="D81" s="128" t="inlineStr">
        <is>
          <t>상</t>
        </is>
      </c>
      <c r="E81" s="128" t="inlineStr">
        <is>
          <t>예정</t>
        </is>
      </c>
      <c r="F81" s="126" t="inlineStr">
        <is>
          <t>본인 — Claude Code(터미널 직접실행 권장)</t>
        </is>
      </c>
      <c r="G81" s="125" t="inlineStr">
        <is>
          <t>2026-09-28(월)</t>
        </is>
      </c>
      <c r="H81" s="126" t="inlineStr">
        <is>
          <t>카카오알림톡 대신 채택</t>
        </is>
      </c>
    </row>
    <row r="82" ht="33.75" customHeight="1" s="89">
      <c r="A82" s="125" t="inlineStr">
        <is>
          <t>4</t>
        </is>
      </c>
      <c r="B82" s="126" t="inlineStr">
        <is>
          <t>청소·시설 관리</t>
        </is>
      </c>
      <c r="C82" s="126" t="inlineStr">
        <is>
          <t>체크리스트+사진업로드 완료확인(VERIFIED 단계)</t>
        </is>
      </c>
      <c r="D82" s="128" t="inlineStr">
        <is>
          <t>중</t>
        </is>
      </c>
      <c r="E82" s="128" t="inlineStr">
        <is>
          <t>예정</t>
        </is>
      </c>
      <c r="F82" s="126" t="inlineStr">
        <is>
          <t>본인 — Claude Code(터미널 직접실행 권장)</t>
        </is>
      </c>
      <c r="G82" s="125" t="inlineStr">
        <is>
          <t>2026-09-28(월)</t>
        </is>
      </c>
      <c r="H82" s="126" t="n"/>
    </row>
    <row r="83" ht="33.75" customHeight="1" s="89">
      <c r="A83" s="135" t="inlineStr">
        <is>
          <t>4</t>
        </is>
      </c>
      <c r="B83" s="136" t="inlineStr">
        <is>
          <t>청소·시설 관리</t>
        </is>
      </c>
      <c r="C83" s="136" t="inlineStr">
        <is>
          <t>호스텔 객실(Room)단위 정비 체크리스트 + 비품부족 체크박스</t>
        </is>
      </c>
      <c r="D83" s="137" t="inlineStr">
        <is>
          <t>중</t>
        </is>
      </c>
      <c r="E83" s="137" t="inlineStr">
        <is>
          <t>예정</t>
        </is>
      </c>
      <c r="F83" s="138" t="inlineStr">
        <is>
          <t>본인 — Gemini(검토·콘텐츠 초안 보조)</t>
        </is>
      </c>
      <c r="G83" s="135" t="inlineStr">
        <is>
          <t>2026-09-28(월)</t>
        </is>
      </c>
      <c r="H83" s="136" t="inlineStr">
        <is>
          <t>★차별점</t>
        </is>
      </c>
    </row>
    <row r="84" ht="33.75" customHeight="1" s="89">
      <c r="A84" s="131" t="inlineStr">
        <is>
          <t>4</t>
        </is>
      </c>
      <c r="B84" s="132" t="inlineStr">
        <is>
          <t>청소·시설 관리</t>
        </is>
      </c>
      <c r="C84" s="133" t="inlineStr">
        <is>
          <t>✅ 4단계 검증: 체크아웃→청소생성→상태전이 전체 흐름 1회 시뮬레이션</t>
        </is>
      </c>
      <c r="D84" s="134" t="inlineStr">
        <is>
          <t>최상</t>
        </is>
      </c>
      <c r="E84" s="134" t="inlineStr">
        <is>
          <t>예정</t>
        </is>
      </c>
      <c r="F84" s="132" t="inlineStr">
        <is>
          <t>본인 — Gemini(교차검증 보조)</t>
        </is>
      </c>
      <c r="G84" s="131" t="inlineStr">
        <is>
          <t>2026-09-29(화)</t>
        </is>
      </c>
      <c r="H84" s="132" t="inlineStr">
        <is>
          <t>검증</t>
        </is>
      </c>
    </row>
    <row r="85" ht="33.75" customHeight="1" s="89">
      <c r="A85" s="121" t="inlineStr">
        <is>
          <t>5</t>
        </is>
      </c>
      <c r="B85" s="122" t="inlineStr">
        <is>
          <t>정산 리포트</t>
        </is>
      </c>
      <c r="C85" s="122" t="inlineStr">
        <is>
          <t>데모 시드 데이터 스크립트 작성(호스트1+숙소3+예약15~20건+문의+청소+정산+긴급알림 시나리오, 발표 시점 기준 상대시간(체크인 D-1.5시간 등) 자동계산 로직 포함)</t>
        </is>
      </c>
      <c r="D85" s="124" t="inlineStr">
        <is>
          <t>최상</t>
        </is>
      </c>
      <c r="E85" s="124" t="inlineStr">
        <is>
          <t>예정</t>
        </is>
      </c>
      <c r="F85" s="130" t="inlineStr">
        <is>
          <t>본인 — Gemini(검토·콘텐츠 초안 보조)</t>
        </is>
      </c>
      <c r="G85" s="121" t="inlineStr">
        <is>
          <t>2026-10-02(금)</t>
        </is>
      </c>
      <c r="H85" s="122" t="inlineStr">
        <is>
          <t>신규, 골든패스 시드데이터 + 시간동기화</t>
        </is>
      </c>
    </row>
    <row r="86" ht="33.75" customHeight="1" s="89">
      <c r="A86" s="121" t="inlineStr">
        <is>
          <t>5</t>
        </is>
      </c>
      <c r="B86" s="122" t="inlineStr">
        <is>
          <t>정산 리포트</t>
        </is>
      </c>
      <c r="C86" s="122" t="inlineStr">
        <is>
          <t>시드 스크립트 실행 및 데이터 정상 반영 확인</t>
        </is>
      </c>
      <c r="D86" s="124" t="inlineStr">
        <is>
          <t>최상</t>
        </is>
      </c>
      <c r="E86" s="124" t="inlineStr">
        <is>
          <t>예정</t>
        </is>
      </c>
      <c r="F86" s="122" t="inlineStr">
        <is>
          <t>본인 — Claude Code(터미널 직접실행 권장)</t>
        </is>
      </c>
      <c r="G86" s="121" t="inlineStr">
        <is>
          <t>2026-10-02(금)</t>
        </is>
      </c>
      <c r="H86" s="122" t="inlineStr">
        <is>
          <t>신규</t>
        </is>
      </c>
    </row>
    <row r="87" ht="33.75" customHeight="1" s="89">
      <c r="A87" s="121" t="inlineStr">
        <is>
          <t>5</t>
        </is>
      </c>
      <c r="B87" s="122" t="inlineStr">
        <is>
          <t>컴플라이언스</t>
        </is>
      </c>
      <c r="C87" s="122" t="inlineStr">
        <is>
          <t>개인정보 최소수집 원칙 점검(게스트데이터-RAG데이터 분리 확인)</t>
        </is>
      </c>
      <c r="D87" s="124" t="inlineStr">
        <is>
          <t>상</t>
        </is>
      </c>
      <c r="E87" s="124" t="inlineStr">
        <is>
          <t>예정</t>
        </is>
      </c>
      <c r="F87" s="130" t="inlineStr">
        <is>
          <t>본인 — Gemini(검토·콘텐츠 초안 보조)</t>
        </is>
      </c>
      <c r="G87" s="121" t="inlineStr">
        <is>
          <t>2026-10-01(목)</t>
        </is>
      </c>
      <c r="H87" s="122" t="inlineStr">
        <is>
          <t>신규, 보안/개인정보</t>
        </is>
      </c>
    </row>
    <row r="88" ht="33.75" customHeight="1" s="89">
      <c r="A88" s="121" t="inlineStr">
        <is>
          <t>5</t>
        </is>
      </c>
      <c r="B88" s="122" t="inlineStr">
        <is>
          <t>동적 가격 책정</t>
        </is>
      </c>
      <c r="C88" s="123" t="inlineStr">
        <is>
          <t>Mock UI '시뮬레이션' 뱃지 통일 적용(가격반영/OTA메시징)</t>
        </is>
      </c>
      <c r="D88" s="124" t="inlineStr">
        <is>
          <t>상</t>
        </is>
      </c>
      <c r="E88" s="124" t="inlineStr">
        <is>
          <t>예정</t>
        </is>
      </c>
      <c r="F88" s="122" t="inlineStr">
        <is>
          <t>본인 — Claude Code(터미널 직접실행 권장)</t>
        </is>
      </c>
      <c r="G88" s="121" t="inlineStr">
        <is>
          <t>2026-10-03(토)</t>
        </is>
      </c>
      <c r="H88" s="122" t="inlineStr">
        <is>
          <t>신규, Real/Mock 구분표시</t>
        </is>
      </c>
    </row>
    <row r="89" ht="33.75" customHeight="1" s="89">
      <c r="A89" s="125" t="inlineStr">
        <is>
          <t>5</t>
        </is>
      </c>
      <c r="B89" s="126" t="inlineStr">
        <is>
          <t>정산 리포트</t>
        </is>
      </c>
      <c r="C89" s="126" t="inlineStr">
        <is>
          <t>채널별 수수료 템플릿 설계(Airbnb 15.5%, Booking.com 15~18% 등)</t>
        </is>
      </c>
      <c r="D89" s="128" t="inlineStr">
        <is>
          <t>최상</t>
        </is>
      </c>
      <c r="E89" s="128" t="inlineStr">
        <is>
          <t>예정</t>
        </is>
      </c>
      <c r="F89" s="129" t="inlineStr">
        <is>
          <t>본인 — Gemini(검토·콘텐츠 초안 보조)</t>
        </is>
      </c>
      <c r="G89" s="125" t="inlineStr">
        <is>
          <t>2026-09-29(화)</t>
        </is>
      </c>
      <c r="H89" s="126" t="n"/>
    </row>
    <row r="90" ht="33.75" customHeight="1" s="89">
      <c r="A90" s="125" t="inlineStr">
        <is>
          <t>5</t>
        </is>
      </c>
      <c r="B90" s="126" t="inlineStr">
        <is>
          <t>정산 리포트</t>
        </is>
      </c>
      <c r="C90" s="127" t="inlineStr">
        <is>
          <t>1단계 자동추정 로직(Room 기본단가×박수-수수료)</t>
        </is>
      </c>
      <c r="D90" s="128" t="inlineStr">
        <is>
          <t>최상</t>
        </is>
      </c>
      <c r="E90" s="128" t="inlineStr">
        <is>
          <t>예정</t>
        </is>
      </c>
      <c r="F90" s="126" t="inlineStr">
        <is>
          <t>본인 — Claude Code(터미널 직접실행 권장)</t>
        </is>
      </c>
      <c r="G90" s="125" t="inlineStr">
        <is>
          <t>2026-09-30(수)</t>
        </is>
      </c>
      <c r="H90" s="126" t="n"/>
    </row>
    <row r="91" ht="33.75" customHeight="1" s="89">
      <c r="A91" s="125" t="inlineStr">
        <is>
          <t>5</t>
        </is>
      </c>
      <c r="B91" s="126" t="inlineStr">
        <is>
          <t>정산 리포트</t>
        </is>
      </c>
      <c r="C91" s="127" t="inlineStr">
        <is>
          <t>2단계 일괄확인(Bulk Confirm) UI</t>
        </is>
      </c>
      <c r="D91" s="128" t="inlineStr">
        <is>
          <t>상</t>
        </is>
      </c>
      <c r="E91" s="128" t="inlineStr">
        <is>
          <t>예정</t>
        </is>
      </c>
      <c r="F91" s="126" t="inlineStr">
        <is>
          <t>본인 — Claude Code(터미널 직접실행 권장)</t>
        </is>
      </c>
      <c r="G91" s="125" t="inlineStr">
        <is>
          <t>2026-10-02(금)</t>
        </is>
      </c>
      <c r="H91" s="126" t="n"/>
    </row>
    <row r="92" ht="33.75" customHeight="1" s="89">
      <c r="A92" s="125" t="inlineStr">
        <is>
          <t>5</t>
        </is>
      </c>
      <c r="B92" s="126" t="inlineStr">
        <is>
          <t>정산 리포트</t>
        </is>
      </c>
      <c r="C92" s="127" t="inlineStr">
        <is>
          <t>3단계 예외보정(Inline Edit, 차이나는 건만)</t>
        </is>
      </c>
      <c r="D92" s="128" t="inlineStr">
        <is>
          <t>상</t>
        </is>
      </c>
      <c r="E92" s="128" t="inlineStr">
        <is>
          <t>예정</t>
        </is>
      </c>
      <c r="F92" s="126" t="inlineStr">
        <is>
          <t>본인 — Claude Code(터미널 직접실행 권장)</t>
        </is>
      </c>
      <c r="G92" s="125" t="inlineStr">
        <is>
          <t>2026-10-02(금)</t>
        </is>
      </c>
      <c r="H92" s="127" t="inlineStr">
        <is>
          <t>10~20% 목표(비율기준)</t>
        </is>
      </c>
    </row>
    <row r="93" ht="33.75" customHeight="1" s="89">
      <c r="A93" s="125" t="inlineStr">
        <is>
          <t>5</t>
        </is>
      </c>
      <c r="B93" s="126" t="inlineStr">
        <is>
          <t>정산 리포트</t>
        </is>
      </c>
      <c r="C93" s="126" t="inlineStr">
        <is>
          <t>취소/환불 반영 로직(refund_status 연동, 매출 자동제외)</t>
        </is>
      </c>
      <c r="D93" s="128" t="inlineStr">
        <is>
          <t>최상</t>
        </is>
      </c>
      <c r="E93" s="128" t="inlineStr">
        <is>
          <t>예정</t>
        </is>
      </c>
      <c r="F93" s="126" t="inlineStr">
        <is>
          <t>본인 — Claude Code(터미널 직접실행 권장)</t>
        </is>
      </c>
      <c r="G93" s="125" t="inlineStr">
        <is>
          <t>2026-09-30(수)</t>
        </is>
      </c>
      <c r="H93" s="126" t="n"/>
    </row>
    <row r="94" ht="33.75" customHeight="1" s="89">
      <c r="A94" s="125" t="inlineStr">
        <is>
          <t>5</t>
        </is>
      </c>
      <c r="B94" s="126" t="inlineStr">
        <is>
          <t>정산 리포트</t>
        </is>
      </c>
      <c r="C94" s="126" t="inlineStr">
        <is>
          <t>채널별/숙소별/월별 집계 + financial_status 뱃지 표시</t>
        </is>
      </c>
      <c r="D94" s="128" t="inlineStr">
        <is>
          <t>상</t>
        </is>
      </c>
      <c r="E94" s="128" t="inlineStr">
        <is>
          <t>예정</t>
        </is>
      </c>
      <c r="F94" s="126" t="inlineStr">
        <is>
          <t>본인 — Claude Code(터미널 직접실행 권장)</t>
        </is>
      </c>
      <c r="G94" s="125" t="inlineStr">
        <is>
          <t>2026-10-02(금)</t>
        </is>
      </c>
      <c r="H94" s="126" t="n"/>
    </row>
    <row r="95" ht="33.75" customHeight="1" s="89">
      <c r="A95" s="125" t="inlineStr">
        <is>
          <t>5</t>
        </is>
      </c>
      <c r="B95" s="126" t="inlineStr">
        <is>
          <t>동적 가격 책정</t>
        </is>
      </c>
      <c r="C95" s="126" t="inlineStr">
        <is>
          <t>공휴일/지역축제 공공데이터 API 연동 추천가 로직</t>
        </is>
      </c>
      <c r="D95" s="128" t="inlineStr">
        <is>
          <t>상</t>
        </is>
      </c>
      <c r="E95" s="128" t="inlineStr">
        <is>
          <t>예정</t>
        </is>
      </c>
      <c r="F95" s="126" t="inlineStr">
        <is>
          <t>본인 — Claude Code(터미널 직접실행 권장)</t>
        </is>
      </c>
      <c r="G95" s="125" t="inlineStr">
        <is>
          <t>2026-10-05(월)</t>
        </is>
      </c>
      <c r="H95" s="126" t="n"/>
    </row>
    <row r="96" ht="33.75" customHeight="1" s="89">
      <c r="A96" s="125" t="inlineStr">
        <is>
          <t>5</t>
        </is>
      </c>
      <c r="B96" s="126" t="inlineStr">
        <is>
          <t>동적 가격 책정</t>
        </is>
      </c>
      <c r="C96" s="126" t="inlineStr">
        <is>
          <t>예약임박도·잔여객실 반영(기존 iCal데이터 활용)</t>
        </is>
      </c>
      <c r="D96" s="128" t="inlineStr">
        <is>
          <t>중</t>
        </is>
      </c>
      <c r="E96" s="128" t="inlineStr">
        <is>
          <t>예정</t>
        </is>
      </c>
      <c r="F96" s="129" t="inlineStr">
        <is>
          <t>본인 — Gemini(검토·콘텐츠 초안 보조)</t>
        </is>
      </c>
      <c r="G96" s="125" t="inlineStr">
        <is>
          <t>2026-10-05(월)</t>
        </is>
      </c>
      <c r="H96" s="126" t="n"/>
    </row>
    <row r="97" ht="33.75" customHeight="1" s="89">
      <c r="A97" s="121" t="inlineStr">
        <is>
          <t>5</t>
        </is>
      </c>
      <c r="B97" s="122" t="inlineStr">
        <is>
          <t>동적 가격 책정</t>
        </is>
      </c>
      <c r="C97" s="122" t="inlineStr">
        <is>
          <t>공백일 미세조정+성수기 방치감지 배치로직(평일할인/주말·연휴인상, DB명세서 6절)</t>
        </is>
      </c>
      <c r="D97" s="124" t="inlineStr">
        <is>
          <t>상</t>
        </is>
      </c>
      <c r="E97" s="124" t="inlineStr">
        <is>
          <t>예정</t>
        </is>
      </c>
      <c r="F97" s="122" t="inlineStr">
        <is>
          <t>본인 — Claude Code(터미널 직접실행 권장)</t>
        </is>
      </c>
      <c r="G97" s="121" t="inlineStr">
        <is>
          <t>2026-10-05(월)</t>
        </is>
      </c>
      <c r="H97" s="122" t="inlineStr">
        <is>
          <t>신규, 9/2 크로스체크로 추가확정</t>
        </is>
      </c>
    </row>
    <row r="98" ht="33.75" customHeight="1" s="89">
      <c r="A98" s="125" t="inlineStr">
        <is>
          <t>5</t>
        </is>
      </c>
      <c r="B98" s="126" t="inlineStr">
        <is>
          <t>알림·액션센터</t>
        </is>
      </c>
      <c r="C98" s="127" t="inlineStr">
        <is>
          <t>Action Center 규칙기반 트리거 구현(최종스펙 규칙표 그대로)</t>
        </is>
      </c>
      <c r="D98" s="128" t="inlineStr">
        <is>
          <t>최상</t>
        </is>
      </c>
      <c r="E98" s="128" t="inlineStr">
        <is>
          <t>예정</t>
        </is>
      </c>
      <c r="F98" s="129" t="inlineStr">
        <is>
          <t>본인 — Gemini(검토·콘텐츠 초안 보조)</t>
        </is>
      </c>
      <c r="G98" s="125" t="inlineStr">
        <is>
          <t>2026-10-03(토)</t>
        </is>
      </c>
      <c r="H98" s="127" t="inlineStr">
        <is>
          <t>AI판단 개입 금지</t>
        </is>
      </c>
    </row>
    <row r="99" ht="33.75" customHeight="1" s="89">
      <c r="A99" s="121" t="inlineStr">
        <is>
          <t>5</t>
        </is>
      </c>
      <c r="B99" s="122" t="inlineStr">
        <is>
          <t>정산 리포트</t>
        </is>
      </c>
      <c r="C99" s="122" t="inlineStr">
        <is>
          <t>중간 회귀체크포인트2: 4~5단계 진행분 재확인(청소→정산 흐름 재실행)</t>
        </is>
      </c>
      <c r="D99" s="124" t="inlineStr">
        <is>
          <t>상</t>
        </is>
      </c>
      <c r="E99" s="124" t="inlineStr">
        <is>
          <t>예정</t>
        </is>
      </c>
      <c r="F99" s="122" t="inlineStr">
        <is>
          <t>본인 — Claude Code(터미널 직접실행 권장)</t>
        </is>
      </c>
      <c r="G99" s="121" t="inlineStr">
        <is>
          <t>2026-10-05(월)</t>
        </is>
      </c>
      <c r="H99" s="123" t="inlineStr">
        <is>
          <t>[연장근무일] 신규</t>
        </is>
      </c>
    </row>
    <row r="100" ht="33.75" customHeight="1" s="89">
      <c r="A100" s="125" t="inlineStr">
        <is>
          <t>5</t>
        </is>
      </c>
      <c r="B100" s="126" t="inlineStr">
        <is>
          <t>동적 가격 책정</t>
        </is>
      </c>
      <c r="C100" s="126" t="inlineStr">
        <is>
          <t>추천가+근거 카드 UI, 승인클릭→Mock반영, 하한가 경고</t>
        </is>
      </c>
      <c r="D100" s="128" t="inlineStr">
        <is>
          <t>상</t>
        </is>
      </c>
      <c r="E100" s="128" t="inlineStr">
        <is>
          <t>예정</t>
        </is>
      </c>
      <c r="F100" s="126" t="inlineStr">
        <is>
          <t>본인 — Claude Code(터미널 직접실행 권장)</t>
        </is>
      </c>
      <c r="G100" s="125" t="inlineStr">
        <is>
          <t>2026-10-05(월)</t>
        </is>
      </c>
      <c r="H100" s="126" t="n"/>
    </row>
    <row r="101" ht="33.75" customHeight="1" s="89">
      <c r="A101" s="125" t="inlineStr">
        <is>
          <t>5</t>
        </is>
      </c>
      <c r="B101" s="126" t="inlineStr">
        <is>
          <t>알림·액션센터</t>
        </is>
      </c>
      <c r="C101" s="126" t="inlineStr">
        <is>
          <t>🔴🟡🟢 통합 위젯 대시보드 구현</t>
        </is>
      </c>
      <c r="D101" s="128" t="inlineStr">
        <is>
          <t>최상</t>
        </is>
      </c>
      <c r="E101" s="128" t="inlineStr">
        <is>
          <t>예정</t>
        </is>
      </c>
      <c r="F101" s="126" t="inlineStr">
        <is>
          <t>본인 — Claude Code(터미널 직접실행 권장)</t>
        </is>
      </c>
      <c r="G101" s="125" t="inlineStr">
        <is>
          <t>2026-10-03(토)</t>
        </is>
      </c>
      <c r="H101" s="126" t="n"/>
    </row>
    <row r="102" ht="33.75" customHeight="1" s="89">
      <c r="A102" s="125" t="inlineStr">
        <is>
          <t>5</t>
        </is>
      </c>
      <c r="B102" s="126" t="inlineStr">
        <is>
          <t>알림·액션센터</t>
        </is>
      </c>
      <c r="C102" s="126" t="inlineStr">
        <is>
          <t>각 이벤트 소스 연결(예약·청소·AI승인·서류만료·정산)</t>
        </is>
      </c>
      <c r="D102" s="128" t="inlineStr">
        <is>
          <t>상</t>
        </is>
      </c>
      <c r="E102" s="128" t="inlineStr">
        <is>
          <t>예정</t>
        </is>
      </c>
      <c r="F102" s="126" t="inlineStr">
        <is>
          <t>본인 — Claude Code(터미널 직접실행 권장)</t>
        </is>
      </c>
      <c r="G102" s="125" t="inlineStr">
        <is>
          <t>2026-10-03(토)</t>
        </is>
      </c>
      <c r="H102" s="126" t="n"/>
    </row>
    <row r="103" ht="33.75" customHeight="1" s="89">
      <c r="A103" s="135" t="inlineStr">
        <is>
          <t>5</t>
        </is>
      </c>
      <c r="B103" s="136" t="inlineStr">
        <is>
          <t>컴플라이언스</t>
        </is>
      </c>
      <c r="C103" s="136" t="inlineStr">
        <is>
          <t>숙박업 유형별 체크리스트 정적 JSON 템플릿, 법정명칭 정확표기</t>
        </is>
      </c>
      <c r="D103" s="137" t="inlineStr">
        <is>
          <t>상</t>
        </is>
      </c>
      <c r="E103" s="137" t="inlineStr">
        <is>
          <t>예정</t>
        </is>
      </c>
      <c r="F103" s="138" t="inlineStr">
        <is>
          <t>본인 — Gemini(검토·콘텐츠 초안 보조)</t>
        </is>
      </c>
      <c r="G103" s="135" t="inlineStr">
        <is>
          <t>2026-10-01(목)</t>
        </is>
      </c>
      <c r="H103" s="136" t="inlineStr">
        <is>
          <t>★차별점</t>
        </is>
      </c>
    </row>
    <row r="104" ht="33.75" customHeight="1" s="89">
      <c r="A104" s="125" t="inlineStr">
        <is>
          <t>5</t>
        </is>
      </c>
      <c r="B104" s="126" t="inlineStr">
        <is>
          <t>컴플라이언스</t>
        </is>
      </c>
      <c r="C104" s="126" t="inlineStr">
        <is>
          <t>업종별 킬러요건 1~2개 노출(여권보관/수질검사/소방안전관리자 등)</t>
        </is>
      </c>
      <c r="D104" s="128" t="inlineStr">
        <is>
          <t>중</t>
        </is>
      </c>
      <c r="E104" s="128" t="inlineStr">
        <is>
          <t>예정</t>
        </is>
      </c>
      <c r="F104" s="129" t="inlineStr">
        <is>
          <t>본인 — Gemini(검토·콘텐츠 초안 보조)</t>
        </is>
      </c>
      <c r="G104" s="125" t="inlineStr">
        <is>
          <t>2026-10-02(금)</t>
        </is>
      </c>
      <c r="H104" s="126" t="n"/>
    </row>
    <row r="105" ht="33.75" customHeight="1" s="89">
      <c r="A105" s="125" t="inlineStr">
        <is>
          <t>5</t>
        </is>
      </c>
      <c r="B105" s="126" t="inlineStr">
        <is>
          <t>컴플라이언스</t>
        </is>
      </c>
      <c r="C105" s="127" t="inlineStr">
        <is>
          <t>EVENT_BASED 변경신고 D+30 카운트다운 로직</t>
        </is>
      </c>
      <c r="D105" s="128" t="inlineStr">
        <is>
          <t>상</t>
        </is>
      </c>
      <c r="E105" s="128" t="inlineStr">
        <is>
          <t>예정</t>
        </is>
      </c>
      <c r="F105" s="126" t="inlineStr">
        <is>
          <t>본인 — Claude Code(터미널 직접실행 권장)</t>
        </is>
      </c>
      <c r="G105" s="125" t="inlineStr">
        <is>
          <t>2026-10-02(금)</t>
        </is>
      </c>
      <c r="H105" s="126" t="n"/>
    </row>
    <row r="106" ht="33.75" customHeight="1" s="89">
      <c r="A106" s="121" t="inlineStr">
        <is>
          <t>5</t>
        </is>
      </c>
      <c r="B106" s="122" t="inlineStr">
        <is>
          <t>정산 리포트</t>
        </is>
      </c>
      <c r="C106" s="122" t="inlineStr">
        <is>
          <t>정산·가격 화면에 로딩/에러/빈상태 UI 적용</t>
        </is>
      </c>
      <c r="D106" s="124" t="inlineStr">
        <is>
          <t>상</t>
        </is>
      </c>
      <c r="E106" s="124" t="inlineStr">
        <is>
          <t>예정</t>
        </is>
      </c>
      <c r="F106" s="122" t="inlineStr">
        <is>
          <t>본인 — Claude Code(터미널 직접실행 권장)</t>
        </is>
      </c>
      <c r="G106" s="121" t="inlineStr">
        <is>
          <t>2026-10-05(월)</t>
        </is>
      </c>
      <c r="H106" s="123" t="inlineStr">
        <is>
          <t>[연장근무일] 신규, 예외UX 확대</t>
        </is>
      </c>
    </row>
    <row r="107" ht="33.75" customHeight="1" s="89">
      <c r="A107" s="131" t="inlineStr">
        <is>
          <t>5</t>
        </is>
      </c>
      <c r="B107" s="132" t="inlineStr">
        <is>
          <t>컴플라이언스</t>
        </is>
      </c>
      <c r="C107" s="133" t="inlineStr">
        <is>
          <t>✅ 5단계 검증: 정산 3단계 파이프라인 + 알림센터 트리거 실데이터로 재현</t>
        </is>
      </c>
      <c r="D107" s="134" t="inlineStr">
        <is>
          <t>최상</t>
        </is>
      </c>
      <c r="E107" s="134" t="inlineStr">
        <is>
          <t>예정</t>
        </is>
      </c>
      <c r="F107" s="132" t="inlineStr">
        <is>
          <t>본인 — Gemini(교차검증 보조)</t>
        </is>
      </c>
      <c r="G107" s="131" t="inlineStr">
        <is>
          <t>2026-10-05(월)</t>
        </is>
      </c>
      <c r="H107" s="132" t="inlineStr">
        <is>
          <t>검증</t>
        </is>
      </c>
    </row>
    <row r="108" ht="33.75" customHeight="1" s="89">
      <c r="A108" s="121" t="inlineStr">
        <is>
          <t>5.5</t>
        </is>
      </c>
      <c r="B108" s="122" t="inlineStr">
        <is>
          <t>통합QA·보안</t>
        </is>
      </c>
      <c r="C108" s="122" t="inlineStr">
        <is>
          <t>전체 기능 회귀테스트(예약→청소→AI→정산→알림 전체 플로우 1회 통관)</t>
        </is>
      </c>
      <c r="D108" s="124" t="inlineStr">
        <is>
          <t>최상</t>
        </is>
      </c>
      <c r="E108" s="124" t="inlineStr">
        <is>
          <t>예정</t>
        </is>
      </c>
      <c r="F108" s="122" t="inlineStr">
        <is>
          <t>본인 — Claude Code(터미널 직접실행 권장)</t>
        </is>
      </c>
      <c r="G108" s="121" t="inlineStr">
        <is>
          <t>2026-10-08(목)</t>
        </is>
      </c>
      <c r="H108" s="123" t="inlineStr">
        <is>
          <t>[연장근무일] 신규</t>
        </is>
      </c>
    </row>
    <row r="109" ht="33.75" customHeight="1" s="89">
      <c r="A109" s="121" t="inlineStr">
        <is>
          <t>5.5</t>
        </is>
      </c>
      <c r="B109" s="122" t="inlineStr">
        <is>
          <t>통합QA·보안</t>
        </is>
      </c>
      <c r="C109" s="122" t="inlineStr">
        <is>
          <t>예외케이스 전수점검(중복예약/취소/환불/iCal실패/LLM실패/DB실패 에러UI 확인)</t>
        </is>
      </c>
      <c r="D109" s="124" t="inlineStr">
        <is>
          <t>최상</t>
        </is>
      </c>
      <c r="E109" s="124" t="inlineStr">
        <is>
          <t>예정</t>
        </is>
      </c>
      <c r="F109" s="122" t="inlineStr">
        <is>
          <t>본인 — Claude Code(터미널 직접실행 권장)</t>
        </is>
      </c>
      <c r="G109" s="121" t="inlineStr">
        <is>
          <t>2026-10-08(목)</t>
        </is>
      </c>
      <c r="H109" s="123" t="inlineStr">
        <is>
          <t>[연장근무일] 신규</t>
        </is>
      </c>
    </row>
    <row r="110" ht="33.75" customHeight="1" s="89">
      <c r="A110" s="121" t="inlineStr">
        <is>
          <t>5.5</t>
        </is>
      </c>
      <c r="B110" s="122" t="inlineStr">
        <is>
          <t>통합QA·보안</t>
        </is>
      </c>
      <c r="C110" s="122" t="inlineStr">
        <is>
          <t>보안점검: 비밀번호 해시 확인, .env/GitHub secret 노출여부 검색</t>
        </is>
      </c>
      <c r="D110" s="124" t="inlineStr">
        <is>
          <t>최상</t>
        </is>
      </c>
      <c r="E110" s="124" t="inlineStr">
        <is>
          <t>예정</t>
        </is>
      </c>
      <c r="F110" s="122" t="inlineStr">
        <is>
          <t>본인 — Claude Code(터미널 직접실행 권장)</t>
        </is>
      </c>
      <c r="G110" s="121" t="inlineStr">
        <is>
          <t>2026-10-08(목)</t>
        </is>
      </c>
      <c r="H110" s="123" t="inlineStr">
        <is>
          <t>[연장근무일] 신규</t>
        </is>
      </c>
    </row>
    <row r="111" ht="33.75" customHeight="1" s="89">
      <c r="A111" s="121" t="inlineStr">
        <is>
          <t>5.5</t>
        </is>
      </c>
      <c r="B111" s="122" t="inlineStr">
        <is>
          <t>통합QA·보안</t>
        </is>
      </c>
      <c r="C111" s="123" t="inlineStr">
        <is>
          <t>Real/Mock UI 라벨 전수 확인(스마트락/가격반영/OTA메시징 '시뮬레이션' 표시)</t>
        </is>
      </c>
      <c r="D111" s="124" t="inlineStr">
        <is>
          <t>최상</t>
        </is>
      </c>
      <c r="E111" s="124" t="inlineStr">
        <is>
          <t>예정</t>
        </is>
      </c>
      <c r="F111" s="122" t="inlineStr">
        <is>
          <t>본인 — Claude Code(터미널 직접실행 권장)</t>
        </is>
      </c>
      <c r="G111" s="121" t="inlineStr">
        <is>
          <t>2026-10-08(목)</t>
        </is>
      </c>
      <c r="H111" s="123" t="inlineStr">
        <is>
          <t>[연장근무일] 신규</t>
        </is>
      </c>
    </row>
    <row r="112" ht="33.75" customHeight="1" s="89">
      <c r="A112" s="121" t="inlineStr">
        <is>
          <t>5.5</t>
        </is>
      </c>
      <c r="B112" s="122" t="inlineStr">
        <is>
          <t>통합QA·보안</t>
        </is>
      </c>
      <c r="C112" s="123" t="inlineStr">
        <is>
          <t>1920x1080 데스크톱+Chrome 기준 화면 확인</t>
        </is>
      </c>
      <c r="D112" s="124" t="inlineStr">
        <is>
          <t>상</t>
        </is>
      </c>
      <c r="E112" s="124" t="inlineStr">
        <is>
          <t>예정</t>
        </is>
      </c>
      <c r="F112" s="122" t="inlineStr">
        <is>
          <t>본인 — Claude Code(터미널 직접실행 권장)</t>
        </is>
      </c>
      <c r="G112" s="121" t="inlineStr">
        <is>
          <t>2026-10-09(금)</t>
        </is>
      </c>
      <c r="H112" s="123" t="inlineStr">
        <is>
          <t>[연장근무일] 신규</t>
        </is>
      </c>
    </row>
    <row r="113" ht="33.75" customHeight="1" s="89">
      <c r="A113" s="121" t="inlineStr">
        <is>
          <t>5.5</t>
        </is>
      </c>
      <c r="B113" s="122" t="inlineStr">
        <is>
          <t>통합QA·보안</t>
        </is>
      </c>
      <c r="C113" s="123" t="inlineStr">
        <is>
          <t>README.md 작성(소개/아키텍처/스택/설치법/환경변수/Demo계정/Real·Mock범위)</t>
        </is>
      </c>
      <c r="D113" s="124" t="inlineStr">
        <is>
          <t>상</t>
        </is>
      </c>
      <c r="E113" s="124" t="inlineStr">
        <is>
          <t>예정</t>
        </is>
      </c>
      <c r="F113" s="130" t="inlineStr">
        <is>
          <t>본인 — Gemini(검토·콘텐츠 초안 보조)</t>
        </is>
      </c>
      <c r="G113" s="121" t="inlineStr">
        <is>
          <t>2026-10-08(목)</t>
        </is>
      </c>
      <c r="H113" s="123" t="inlineStr">
        <is>
          <t>[연장근무일] 신규</t>
        </is>
      </c>
    </row>
    <row r="114" ht="33.75" customHeight="1" s="89">
      <c r="A114" s="125" t="inlineStr">
        <is>
          <t>6</t>
        </is>
      </c>
      <c r="B114" s="126" t="inlineStr">
        <is>
          <t>마무리</t>
        </is>
      </c>
      <c r="C114" s="127" t="inlineStr">
        <is>
          <t>GitHub 저장소 최종정리 + 프로덕션 배포 전환(스테이징→정식)+CORS 최종확인</t>
        </is>
      </c>
      <c r="D114" s="128" t="inlineStr">
        <is>
          <t>최상</t>
        </is>
      </c>
      <c r="E114" s="128" t="inlineStr">
        <is>
          <t>예정</t>
        </is>
      </c>
      <c r="F114" s="126" t="inlineStr">
        <is>
          <t>본인 — Claude Code(터미널 직접실행 권장)</t>
        </is>
      </c>
      <c r="G114" s="125" t="inlineStr">
        <is>
          <t>2026-10-08(목)</t>
        </is>
      </c>
      <c r="H114" s="126" t="inlineStr">
        <is>
          <t>조기배포 덕분에 최종전환만</t>
        </is>
      </c>
    </row>
    <row r="115" ht="33.75" customHeight="1" s="89">
      <c r="A115" s="125" t="inlineStr">
        <is>
          <t>6</t>
        </is>
      </c>
      <c r="B115" s="126" t="inlineStr">
        <is>
          <t>마무리</t>
        </is>
      </c>
      <c r="C115" s="127" t="inlineStr">
        <is>
          <t>Mock/Real 표현 최종점검 + '숙소운영특화 AI Agent' 표현 일관성 점검</t>
        </is>
      </c>
      <c r="D115" s="128" t="inlineStr">
        <is>
          <t>최상</t>
        </is>
      </c>
      <c r="E115" s="128" t="inlineStr">
        <is>
          <t>예정</t>
        </is>
      </c>
      <c r="F115" s="126" t="inlineStr">
        <is>
          <t>본인 — Claude Code(터미널 직접실행 권장)</t>
        </is>
      </c>
      <c r="G115" s="125" t="inlineStr">
        <is>
          <t>2026-10-09(금)</t>
        </is>
      </c>
      <c r="H115" s="126" t="n"/>
    </row>
    <row r="116" ht="33.75" customHeight="1" s="89">
      <c r="A116" s="125" t="inlineStr">
        <is>
          <t>6</t>
        </is>
      </c>
      <c r="B116" s="126" t="inlineStr">
        <is>
          <t>마무리</t>
        </is>
      </c>
      <c r="C116" s="126" t="inlineStr">
        <is>
          <t>발표 슬라이드 최종본 확정(AI Agent Loop 다이어그램 포함)</t>
        </is>
      </c>
      <c r="D116" s="128" t="inlineStr">
        <is>
          <t>최상</t>
        </is>
      </c>
      <c r="E116" s="128" t="inlineStr">
        <is>
          <t>예정</t>
        </is>
      </c>
      <c r="F116" s="126" t="inlineStr">
        <is>
          <t>본인 직접(콘텐츠 확인/검토, 코드작업 아님)</t>
        </is>
      </c>
      <c r="G116" s="125" t="inlineStr">
        <is>
          <t>2026-10-09(금)</t>
        </is>
      </c>
      <c r="H116" s="126" t="n"/>
    </row>
    <row r="117" ht="33.75" customHeight="1" s="89">
      <c r="A117" s="125" t="inlineStr">
        <is>
          <t>6</t>
        </is>
      </c>
      <c r="B117" s="126" t="inlineStr">
        <is>
          <t>마무리</t>
        </is>
      </c>
      <c r="C117" s="126" t="inlineStr">
        <is>
          <t>영상 대본/콘티 초안 작성(화면 흐름·나레이션 포인트 먼저 잡기, 최종 코드 완성 전에도 가능)</t>
        </is>
      </c>
      <c r="D117" s="128" t="inlineStr">
        <is>
          <t>상</t>
        </is>
      </c>
      <c r="E117" s="128" t="inlineStr">
        <is>
          <t>예정</t>
        </is>
      </c>
      <c r="F117" s="129" t="inlineStr">
        <is>
          <t>본인 — Gemini(검토·콘텐츠 초안 보조)</t>
        </is>
      </c>
      <c r="G117" s="125" t="inlineStr">
        <is>
          <t>2026-10-07(수)</t>
        </is>
      </c>
      <c r="H117" s="127" t="inlineStr">
        <is>
          <t>9/4 추가, 마지막날 몰림 방지</t>
        </is>
      </c>
    </row>
    <row r="118" ht="33.75" customHeight="1" s="89">
      <c r="A118" s="125" t="inlineStr">
        <is>
          <t>6</t>
        </is>
      </c>
      <c r="B118" s="126" t="inlineStr">
        <is>
          <t>마무리</t>
        </is>
      </c>
      <c r="C118" s="126" t="inlineStr">
        <is>
          <t>영상 대본/콘티 최종본 확정(10/7 초안 기반, 실제 화면 캡처 반영)</t>
        </is>
      </c>
      <c r="D118" s="128" t="inlineStr">
        <is>
          <t>최상</t>
        </is>
      </c>
      <c r="E118" s="128" t="inlineStr">
        <is>
          <t>예정</t>
        </is>
      </c>
      <c r="F118" s="126" t="inlineStr">
        <is>
          <t>본인 직접(콘텐츠 확인/검토, 코드작업 아님)</t>
        </is>
      </c>
      <c r="G118" s="125" t="inlineStr">
        <is>
          <t>2026-10-09(금)</t>
        </is>
      </c>
      <c r="H118" s="126" t="n"/>
    </row>
    <row r="119" ht="33.75" customHeight="1" s="89">
      <c r="A119" s="121" t="inlineStr">
        <is>
          <t>6</t>
        </is>
      </c>
      <c r="B119" s="122" t="inlineStr">
        <is>
          <t>마무리</t>
        </is>
      </c>
      <c r="C119" s="122" t="inlineStr">
        <is>
          <t>제출용 설명문서 최종본 정리(9/3 기획서 확장판: 배경/주제/기술스택/아키텍처/사용법)</t>
        </is>
      </c>
      <c r="D119" s="124" t="inlineStr">
        <is>
          <t>최상</t>
        </is>
      </c>
      <c r="E119" s="124" t="inlineStr">
        <is>
          <t>예정</t>
        </is>
      </c>
      <c r="F119" s="130" t="inlineStr">
        <is>
          <t>본인 — Gemini(검토·콘텐츠 초안 보조)</t>
        </is>
      </c>
      <c r="G119" s="121" t="inlineStr">
        <is>
          <t>2026-10-06(화)</t>
        </is>
      </c>
      <c r="H119" s="122" t="inlineStr">
        <is>
          <t>신규, 외부제출마감(10/10)</t>
        </is>
      </c>
    </row>
    <row r="120" ht="33.75" customHeight="1" s="89">
      <c r="A120" s="125" t="inlineStr">
        <is>
          <t>6</t>
        </is>
      </c>
      <c r="B120" s="126" t="inlineStr">
        <is>
          <t>마무리</t>
        </is>
      </c>
      <c r="C120" s="127" t="inlineStr">
        <is>
          <t>[야간] 화면 녹화 + 음성 나레이션 녹음</t>
        </is>
      </c>
      <c r="D120" s="128" t="inlineStr">
        <is>
          <t>최상</t>
        </is>
      </c>
      <c r="E120" s="128" t="inlineStr">
        <is>
          <t>예정</t>
        </is>
      </c>
      <c r="F120" s="129" t="inlineStr">
        <is>
          <t>본인 — Gemini(검토·콘텐츠 초안 보조)</t>
        </is>
      </c>
      <c r="G120" s="125" t="inlineStr">
        <is>
          <t>2026-10-09(금)</t>
        </is>
      </c>
      <c r="H120" s="126" t="inlineStr">
        <is>
          <t>본인 실행, 시간소요 큼. 구간 4분할(로그인+대시보드/예약생성/AI응대/청소+정산), 목표 길이 10분 내외(docs/video_recording_setup.md 참조)</t>
        </is>
      </c>
    </row>
    <row r="121" ht="33.75" customHeight="1" s="89">
      <c r="A121" s="125" t="inlineStr">
        <is>
          <t>6</t>
        </is>
      </c>
      <c r="B121" s="126" t="inlineStr">
        <is>
          <t>마무리</t>
        </is>
      </c>
      <c r="C121" s="126" t="inlineStr">
        <is>
          <t>아침 검토: 전날 녹화분 확인, 재촬영 필요분 파악</t>
        </is>
      </c>
      <c r="D121" s="128" t="inlineStr">
        <is>
          <t>최상</t>
        </is>
      </c>
      <c r="E121" s="128" t="inlineStr">
        <is>
          <t>예정</t>
        </is>
      </c>
      <c r="F121" s="126" t="inlineStr">
        <is>
          <t>본인 직접(콘텐츠 확인/검토, 코드작업 아님)</t>
        </is>
      </c>
      <c r="G121" s="125" t="inlineStr">
        <is>
          <t>2026-10-10(토)</t>
        </is>
      </c>
      <c r="H121" s="126" t="n"/>
    </row>
    <row r="122" ht="33.75" customHeight="1" s="89">
      <c r="A122" s="125" t="inlineStr">
        <is>
          <t>6</t>
        </is>
      </c>
      <c r="B122" s="126" t="inlineStr">
        <is>
          <t>마무리</t>
        </is>
      </c>
      <c r="C122" s="127" t="inlineStr">
        <is>
          <t>[야간] 영상 편집(컷/자막/전환) + 렌더링</t>
        </is>
      </c>
      <c r="D122" s="128" t="inlineStr">
        <is>
          <t>최상</t>
        </is>
      </c>
      <c r="E122" s="128" t="inlineStr">
        <is>
          <t>예정</t>
        </is>
      </c>
      <c r="F122" s="129" t="inlineStr">
        <is>
          <t>본인 — Gemini(검토·콘텐츠 초안 보조)</t>
        </is>
      </c>
      <c r="G122" s="125" t="inlineStr">
        <is>
          <t>2026-10-10(토)</t>
        </is>
      </c>
      <c r="H122" s="126" t="inlineStr">
        <is>
          <t>가장 시간소요 큰 작업. BGM은 제외(시간압박 최고조인 날, 데모영상은 화면+설명이 핵심이지 BGM 없어도 무방, 9/5 재검토로 결정)</t>
        </is>
      </c>
    </row>
    <row r="123" ht="33.75" customHeight="1" s="89">
      <c r="A123" s="125" t="inlineStr">
        <is>
          <t>6</t>
        </is>
      </c>
      <c r="B123" s="126" t="inlineStr">
        <is>
          <t>마무리</t>
        </is>
      </c>
      <c r="C123" s="126" t="inlineStr">
        <is>
          <t>최종 포맷/용량 확인 + 백업본 준비 + 최종 제출</t>
        </is>
      </c>
      <c r="D123" s="128" t="inlineStr">
        <is>
          <t>최상</t>
        </is>
      </c>
      <c r="E123" s="128" t="inlineStr">
        <is>
          <t>예정</t>
        </is>
      </c>
      <c r="F123" s="126" t="inlineStr">
        <is>
          <t>본인 — Claude Code(터미널 직접실행 권장)</t>
        </is>
      </c>
      <c r="G123" s="125" t="inlineStr">
        <is>
          <t>2026-10-10(토)</t>
        </is>
      </c>
      <c r="H123" s="126" t="inlineStr">
        <is>
          <t>제출 마감</t>
        </is>
      </c>
    </row>
    <row r="124" ht="33.75" customHeight="1" s="89">
      <c r="A124" s="121" t="inlineStr">
        <is>
          <t>6</t>
        </is>
      </c>
      <c r="B124" s="122" t="inlineStr">
        <is>
          <t>마무리</t>
        </is>
      </c>
      <c r="C124" s="122" t="inlineStr">
        <is>
          <t>✅ 설명문서 + 소스코드(ZIP) PBT 제출(외부마감 10/10)</t>
        </is>
      </c>
      <c r="D124" s="124" t="inlineStr">
        <is>
          <t>최상</t>
        </is>
      </c>
      <c r="E124" s="124" t="inlineStr">
        <is>
          <t>예정</t>
        </is>
      </c>
      <c r="F124" s="122" t="inlineStr">
        <is>
          <t>본인 — Claude Code(터미널 직접실행 권장)</t>
        </is>
      </c>
      <c r="G124" s="121" t="inlineStr">
        <is>
          <t>2026-10-10(토)</t>
        </is>
      </c>
      <c r="H124" s="122" t="inlineStr">
        <is>
          <t>제출물 3종: 설명문서·소스코드(ZIP)·발표자료(PPT). 영상은 제출물이 아니며 10/12 발표 시연용. 파일명 3기_3차_신경주_○○○. 제출경로 PBT → 프로젝트 섹션 → [3차 최종 제출]</t>
        </is>
      </c>
    </row>
    <row r="125" ht="33.75" customHeight="1" s="89">
      <c r="A125" s="121" t="inlineStr">
        <is>
          <t>6.5</t>
        </is>
      </c>
      <c r="B125" s="122" t="inlineStr">
        <is>
          <t>최종 데모검증</t>
        </is>
      </c>
      <c r="C125" s="122" t="inlineStr">
        <is>
          <t>데모 데이터 시드 재실행(DB 초기화+골든패스 데이터 재세팅)</t>
        </is>
      </c>
      <c r="D125" s="124" t="inlineStr">
        <is>
          <t>최상</t>
        </is>
      </c>
      <c r="E125" s="124" t="inlineStr">
        <is>
          <t>예정</t>
        </is>
      </c>
      <c r="F125" s="122" t="inlineStr">
        <is>
          <t>본인 — Claude Code(터미널 직접실행 권장)</t>
        </is>
      </c>
      <c r="G125" s="121" t="inlineStr">
        <is>
          <t>2026-10-11(일)</t>
        </is>
      </c>
      <c r="H125" s="122" t="inlineStr">
        <is>
          <t>신규, Demo Reset</t>
        </is>
      </c>
    </row>
    <row r="126" ht="33.75" customHeight="1" s="89">
      <c r="A126" s="121" t="inlineStr">
        <is>
          <t>6.5</t>
        </is>
      </c>
      <c r="B126" s="122" t="inlineStr">
        <is>
          <t>최종 데모검증</t>
        </is>
      </c>
      <c r="C126" s="123" t="inlineStr">
        <is>
          <t>E2E 데모 시나리오 리허설(로그인→대시보드→액션센터→예약확인→AI문의→승인→청소→정산 1회 실행)</t>
        </is>
      </c>
      <c r="D126" s="124" t="inlineStr">
        <is>
          <t>최상</t>
        </is>
      </c>
      <c r="E126" s="124" t="inlineStr">
        <is>
          <t>예정</t>
        </is>
      </c>
      <c r="F126" s="122" t="inlineStr">
        <is>
          <t>본인 — Claude Code(터미널 직접실행 권장)</t>
        </is>
      </c>
      <c r="G126" s="121" t="inlineStr">
        <is>
          <t>2026-10-11(일)</t>
        </is>
      </c>
      <c r="H126" s="122" t="inlineStr">
        <is>
          <t>신규. 발표영상 실제 재생 확인 포함(음성·화면 끝까지 끊김없이 재생되는지, 10/11 리허설 때 반드시 함께 확인)</t>
        </is>
      </c>
    </row>
    <row r="127" ht="33.75" customHeight="1" s="89">
      <c r="A127" s="121" t="inlineStr">
        <is>
          <t>6.5</t>
        </is>
      </c>
      <c r="B127" s="122" t="inlineStr">
        <is>
          <t>최종 데모검증</t>
        </is>
      </c>
      <c r="C127" s="122" t="inlineStr">
        <is>
          <t>예상 Q&amp;A 답변 준비(iCal 선택이유/DB전환이유/AI Agent vs 챗봇 차이 등)</t>
        </is>
      </c>
      <c r="D127" s="124" t="inlineStr">
        <is>
          <t>상</t>
        </is>
      </c>
      <c r="E127" s="124" t="inlineStr">
        <is>
          <t>예정</t>
        </is>
      </c>
      <c r="F127" s="122" t="inlineStr">
        <is>
          <t>본인 직접(콘텐츠 확인/검토, 코드작업 아님)</t>
        </is>
      </c>
      <c r="G127" s="121" t="inlineStr">
        <is>
          <t>2026-10-11(일)</t>
        </is>
      </c>
      <c r="H127" s="122" t="inlineStr">
        <is>
          <t>신규</t>
        </is>
      </c>
    </row>
    <row r="128" ht="33.75" customHeight="1" s="89">
      <c r="A128" s="131" t="inlineStr">
        <is>
          <t>6.5</t>
        </is>
      </c>
      <c r="B128" s="132" t="inlineStr">
        <is>
          <t>최종 데모검증</t>
        </is>
      </c>
      <c r="C128" s="133" t="inlineStr">
        <is>
          <t>✅ 6.5단계 검증: 배포본 재생·서버 웨이크업·발표 최종 리허설</t>
        </is>
      </c>
      <c r="D128" s="134" t="inlineStr">
        <is>
          <t>최상</t>
        </is>
      </c>
      <c r="E128" s="134" t="inlineStr">
        <is>
          <t>예정</t>
        </is>
      </c>
      <c r="F128" s="132" t="inlineStr">
        <is>
          <t>본인 — Gemini(교차검증 보조)</t>
        </is>
      </c>
      <c r="G128" s="131" t="inlineStr">
        <is>
          <t>2026-10-11(일)</t>
        </is>
      </c>
      <c r="H128" s="132" t="inlineStr">
        <is>
          <t>검증, 10/12는 발표당일 작업없음. 발표 당일 아침 UptimeRobot 가동 상태 확인, 발표 30분 전 /health 수동 호출로 웜업. 전날 웨이크업은 15분 뒤 무효</t>
        </is>
      </c>
    </row>
    <row r="129">
      <c r="A129" s="131" t="inlineStr">
        <is>
          <t>6</t>
        </is>
      </c>
      <c r="B129" s="132" t="inlineStr">
        <is>
          <t>마무리</t>
        </is>
      </c>
      <c r="C129" s="133" t="inlineStr">
        <is>
          <t>발표 슬라이드 초안 작성(구성·화면 캡처·AI Agent Loop 다이어그램)</t>
        </is>
      </c>
      <c r="D129" s="134" t="inlineStr">
        <is>
          <t>최상</t>
        </is>
      </c>
      <c r="E129" s="134" t="inlineStr">
        <is>
          <t>예정</t>
        </is>
      </c>
      <c r="F129" s="132" t="inlineStr">
        <is>
          <t>본인 — Gemini(검토·콘텐츠보조)</t>
        </is>
      </c>
      <c r="G129" s="131" t="inlineStr">
        <is>
          <t>2026-10-06(화)</t>
        </is>
      </c>
      <c r="H129" s="132" t="inlineStr">
        <is>
          <t>신규. 10/9 "슬라이드 최종본 확정"의 선행 작업 — 현재 제작 태스크가 없어 신설</t>
        </is>
      </c>
    </row>
    <row r="130">
      <c r="A130" s="131" t="inlineStr">
        <is>
          <t>6</t>
        </is>
      </c>
      <c r="B130" s="132" t="inlineStr">
        <is>
          <t>마무리</t>
        </is>
      </c>
      <c r="C130" s="133" t="inlineStr">
        <is>
          <t>소스코드 ZIP 생성(node_modules·.env·__pycache__ 제외 확인)</t>
        </is>
      </c>
      <c r="D130" s="134" t="inlineStr">
        <is>
          <t>최상</t>
        </is>
      </c>
      <c r="E130" s="134" t="inlineStr">
        <is>
          <t>예정</t>
        </is>
      </c>
      <c r="F130" s="132" t="inlineStr">
        <is>
          <t>본인 — Claude Code(터미널 직접실행 권장)</t>
        </is>
      </c>
      <c r="G130" s="131" t="inlineStr">
        <is>
          <t>2026-10-10(토)</t>
        </is>
      </c>
      <c r="H130" s="132" t="inlineStr">
        <is>
          <t>신규. 안내문 명시 — API Key·비밀번호·개인정보 포함 여부 반드시 확인</t>
        </is>
      </c>
    </row>
    <row r="131">
      <c r="A131" s="131" t="inlineStr">
        <is>
          <t>6.5</t>
        </is>
      </c>
      <c r="B131" s="132" t="inlineStr">
        <is>
          <t>마무리</t>
        </is>
      </c>
      <c r="C131" s="133" t="inlineStr">
        <is>
          <t>✅ 발표자료(PPT) PBT 제출(외부마감 10/11)</t>
        </is>
      </c>
      <c r="D131" s="134" t="inlineStr">
        <is>
          <t>최상</t>
        </is>
      </c>
      <c r="E131" s="134" t="inlineStr">
        <is>
          <t>예정</t>
        </is>
      </c>
      <c r="F131" s="132" t="inlineStr">
        <is>
          <t>본인 — Claude Code(터미널 직접실행 권장)</t>
        </is>
      </c>
      <c r="G131" s="131" t="inlineStr">
        <is>
          <t>2026-10-11(일)</t>
        </is>
      </c>
      <c r="H131" s="132" t="inlineStr">
        <is>
          <t>신규, 외부제출마감(10/11). 파일명 3기_3차_신경주_발표자료. PDF 또는 PPTX. 영상은 제출물 아님</t>
        </is>
      </c>
    </row>
    <row r="132">
      <c r="A132" t="inlineStr">
        <is>
          <t>3</t>
        </is>
      </c>
      <c r="B132" t="inlineStr">
        <is>
          <t>고객 응대 자동화</t>
        </is>
      </c>
      <c r="C132" t="inlineStr">
        <is>
          <t>N1 AI 패키지 도입(anthropic·sentence-transformers) + services/ai/ 골격</t>
        </is>
      </c>
      <c r="D132" t="inlineStr">
        <is>
          <t>최상</t>
        </is>
      </c>
      <c r="E132" t="inlineStr">
        <is>
          <t>예정</t>
        </is>
      </c>
      <c r="F132" t="inlineStr">
        <is>
          <t>본인 — Claude Code(터미널 직접실행 권장)</t>
        </is>
      </c>
      <c r="G132" t="inlineStr">
        <is>
          <t>2026-09-16(수)</t>
        </is>
      </c>
      <c r="H132" t="inlineStr">
        <is>
          <t>신규(9/15). 스모크 실측 — anthropic 11초 / sentence-transformers 141초, 모델 458MB·384차원</t>
        </is>
      </c>
    </row>
    <row r="133">
      <c r="A133" t="inlineStr">
        <is>
          <t>2</t>
        </is>
      </c>
      <c r="B133" t="inlineStr">
        <is>
          <t>기반 인프라</t>
        </is>
      </c>
      <c r="C133" t="inlineStr">
        <is>
          <t>N8 /settings 채널연동 탭 화면(연결 목록·등록·삭제·수동 동기화)</t>
        </is>
      </c>
      <c r="D133" t="inlineStr">
        <is>
          <t>상</t>
        </is>
      </c>
      <c r="E133" t="inlineStr">
        <is>
          <t>예정</t>
        </is>
      </c>
      <c r="F133" t="inlineStr">
        <is>
          <t>본인 — Claude Code(터미널 직접실행 권장)</t>
        </is>
      </c>
      <c r="G133" t="inlineStr">
        <is>
          <t>2026-09-16(수)</t>
        </is>
      </c>
      <c r="H133" t="inlineStr">
        <is>
          <t>신규(9/15). 백엔드 5종은 이미 있고 호출처가 0곳이었다 — r49 새로고침 버튼·r50·r51이 이 화면을 전제</t>
        </is>
      </c>
    </row>
    <row r="134">
      <c r="A134" t="inlineStr">
        <is>
          <t>3</t>
        </is>
      </c>
      <c r="B134" t="inlineStr">
        <is>
          <t>고객 응대 자동화</t>
        </is>
      </c>
      <c r="C134" t="inlineStr">
        <is>
          <t>N2 rag_engine.py — pgvector 코사인 검색 + property_id 물리 격리</t>
        </is>
      </c>
      <c r="D134" t="inlineStr">
        <is>
          <t>최상</t>
        </is>
      </c>
      <c r="E134" t="inlineStr">
        <is>
          <t>예정</t>
        </is>
      </c>
      <c r="F134" t="inlineStr">
        <is>
          <t>본인 — Claude Code(터미널 직접실행 권장)</t>
        </is>
      </c>
      <c r="G134" t="inlineStr">
        <is>
          <t>2026-09-18(금)</t>
        </is>
      </c>
      <c r="H134" t="inlineStr">
        <is>
          <t>신규(9/15). 9/15 스모크에서 검색 0.029초·격리 동작 확인 — 미격리 시 타 숙소 문장이 1위로 올라오는 것도 재현</t>
        </is>
      </c>
    </row>
    <row r="135">
      <c r="A135" t="inlineStr">
        <is>
          <t>3</t>
        </is>
      </c>
      <c r="B135" t="inlineStr">
        <is>
          <t>고객 응대 자동화</t>
        </is>
      </c>
      <c r="C135" t="inlineStr">
        <is>
          <t>N3 임베딩 생성 + 지식베이스 적재 경로(POST /knowledge-chunks)</t>
        </is>
      </c>
      <c r="D135" t="inlineStr">
        <is>
          <t>최상</t>
        </is>
      </c>
      <c r="E135" t="inlineStr">
        <is>
          <t>예정</t>
        </is>
      </c>
      <c r="F135" t="inlineStr">
        <is>
          <t>본인 — Claude Code(터미널 직접실행 권장)</t>
        </is>
      </c>
      <c r="G135" t="inlineStr">
        <is>
          <t>2026-09-18(금)</t>
        </is>
      </c>
      <c r="H135" t="inlineStr">
        <is>
          <t>신규(9/15). 현재 KNOWLEDGE_CHUNKS에 데이터를 넣는 경로가 화면·API·시드 전부 없다</t>
        </is>
      </c>
    </row>
    <row r="136">
      <c r="A136" t="inlineStr">
        <is>
          <t>3</t>
        </is>
      </c>
      <c r="B136" t="inlineStr">
        <is>
          <t>고객 응대 자동화</t>
        </is>
      </c>
      <c r="C136" t="inlineStr">
        <is>
          <t>N4 pii_masking.py — Claude 전송 전 전화·이메일·여권·카드번호 마스킹</t>
        </is>
      </c>
      <c r="D136" t="inlineStr">
        <is>
          <t>최상</t>
        </is>
      </c>
      <c r="E136" t="inlineStr">
        <is>
          <t>예정</t>
        </is>
      </c>
      <c r="F136" t="inlineStr">
        <is>
          <t>본인 — Claude Code(터미널 직접실행 권장)</t>
        </is>
      </c>
      <c r="G136" t="inlineStr">
        <is>
          <t>2026-09-19(토)</t>
        </is>
      </c>
      <c r="H136" t="inlineStr">
        <is>
          <t>신규(9/15). 보안 최우선(코딩규칙 12). guest_name·guest_label은 프롬프트에서 제외</t>
        </is>
      </c>
    </row>
    <row r="137">
      <c r="A137" t="inlineStr">
        <is>
          <t>3</t>
        </is>
      </c>
      <c r="B137" t="inlineStr">
        <is>
          <t>고객 응대 자동화</t>
        </is>
      </c>
      <c r="C137" t="inlineStr">
        <is>
          <t>N5 agent_graph.py — Claude 단일 통합호출(structured outputs)</t>
        </is>
      </c>
      <c r="D137" t="inlineStr">
        <is>
          <t>최상</t>
        </is>
      </c>
      <c r="E137" t="inlineStr">
        <is>
          <t>예정</t>
        </is>
      </c>
      <c r="F137" t="inlineStr">
        <is>
          <t>본인 — Claude Code(터미널 직접실행 권장)</t>
        </is>
      </c>
      <c r="G137" t="inlineStr">
        <is>
          <t>2026-09-19(토)</t>
        </is>
      </c>
      <c r="H137" t="inlineStr">
        <is>
          <t>신규(9/15). 선행: auto_respondable이 언제 true인지 규칙 확정(ui_design 7-4절이 어느 문서에도 없다고 기록). 9/15 스모크 — 백틱이 4/4 붙어 직파싱 실패, structured outputs로 4/4 해결</t>
        </is>
      </c>
    </row>
    <row r="138">
      <c r="A138" t="inlineStr">
        <is>
          <t>3</t>
        </is>
      </c>
      <c r="B138" t="inlineStr">
        <is>
          <t>고객 응대 자동화</t>
        </is>
      </c>
      <c r="C138" t="inlineStr">
        <is>
          <t>N6 키워드 사전 필터 — LLM 호출 전 저비용 선분류</t>
        </is>
      </c>
      <c r="D138" t="inlineStr">
        <is>
          <t>상</t>
        </is>
      </c>
      <c r="E138" t="inlineStr">
        <is>
          <t>예정</t>
        </is>
      </c>
      <c r="F138" t="inlineStr">
        <is>
          <t>본인 — Claude Code(터미널 직접실행 권장)</t>
        </is>
      </c>
      <c r="G138" t="inlineStr">
        <is>
          <t>2026-09-21(월)</t>
        </is>
      </c>
      <c r="H138" t="inlineStr">
        <is>
          <t>신규(9/15). 비용통제 — 사전 등록한 키워드로 거르면 Claude 호출 자체를 줄인다</t>
        </is>
      </c>
    </row>
    <row r="139">
      <c r="A139" t="inlineStr">
        <is>
          <t>3</t>
        </is>
      </c>
      <c r="B139" t="inlineStr">
        <is>
          <t>고객 응대 자동화</t>
        </is>
      </c>
      <c r="C139" t="inlineStr">
        <is>
          <t>N7 inquiries.py 라우터 6종(목록·접수·상세·재생성·승인·거절)</t>
        </is>
      </c>
      <c r="D139" t="inlineStr">
        <is>
          <t>최상</t>
        </is>
      </c>
      <c r="E139" t="inlineStr">
        <is>
          <t>예정</t>
        </is>
      </c>
      <c r="F139" t="inlineStr">
        <is>
          <t>본인 — Claude Code(터미널 직접실행 권장)</t>
        </is>
      </c>
      <c r="G139" t="inlineStr">
        <is>
          <t>2026-09-21(월)</t>
        </is>
      </c>
      <c r="H139" t="inlineStr">
        <is>
          <t>신규(9/15). 선행: response.detected_language ↔ INQUIRY_RESPONSES.language 매핑을 api_contract에 명시</t>
        </is>
      </c>
    </row>
    <row r="140">
      <c r="A140" t="inlineStr">
        <is>
          <t>3</t>
        </is>
      </c>
      <c r="B140" t="inlineStr">
        <is>
          <t>고객 응대 자동화</t>
        </is>
      </c>
      <c r="C140" t="inlineStr">
        <is>
          <t>N14 개발용 최소 시드(숙소2·예약2·문의3) — API 경로로 생성</t>
        </is>
      </c>
      <c r="D140" t="inlineStr">
        <is>
          <t>상</t>
        </is>
      </c>
      <c r="E140" t="inlineStr">
        <is>
          <t>예정</t>
        </is>
      </c>
      <c r="F140" t="inlineStr">
        <is>
          <t>본인 — Claude Code(터미널 직접실행 권장)</t>
        </is>
      </c>
      <c r="G140" t="inlineStr">
        <is>
          <t>2026-09-21(월)</t>
        </is>
      </c>
      <c r="H140" t="inlineStr">
        <is>
          <t>신규(9/15). 10/2 발표용 시드(r85)와 별개. AI·화면 개발 중 매번 손으로 만들지 않기 위한 것</t>
        </is>
      </c>
    </row>
    <row r="141">
      <c r="A141" t="inlineStr">
        <is>
          <t>2</t>
        </is>
      </c>
      <c r="B141" t="inlineStr">
        <is>
          <t>기반 인프라</t>
        </is>
      </c>
      <c r="C141" t="inlineStr">
        <is>
          <t>N9 /onboarding 화면(STEP1 숙소·객실·침대 / STEP2 채널 연결)</t>
        </is>
      </c>
      <c r="D141" t="inlineStr">
        <is>
          <t>최상</t>
        </is>
      </c>
      <c r="E141" t="inlineStr">
        <is>
          <t>예정</t>
        </is>
      </c>
      <c r="F141" t="inlineStr">
        <is>
          <t>본인 — Claude Code(터미널 직접실행 권장)</t>
        </is>
      </c>
      <c r="G141" t="inlineStr">
        <is>
          <t>2026-09-22(화)</t>
        </is>
      </c>
      <c r="H141" t="inlineStr">
        <is>
          <t>신규(9/15). POST 4종이 이미 있고 호출처가 0곳. PropertySwitcher 새 숙소 등록도 이 화면으로 간다</t>
        </is>
      </c>
    </row>
    <row r="142">
      <c r="A142" t="inlineStr">
        <is>
          <t>3</t>
        </is>
      </c>
      <c r="B142" t="inlineStr">
        <is>
          <t>고객 응대 자동화</t>
        </is>
      </c>
      <c r="C142" t="inlineStr">
        <is>
          <t>N15 AI 승인 대기 카드 1종(대시보드 위젯)</t>
        </is>
      </c>
      <c r="D142" t="inlineStr">
        <is>
          <t>상</t>
        </is>
      </c>
      <c r="E142" t="inlineStr">
        <is>
          <t>예정</t>
        </is>
      </c>
      <c r="F142" t="inlineStr">
        <is>
          <t>본인 — Claude Code(터미널 직접실행 권장)</t>
        </is>
      </c>
      <c r="G142" t="inlineStr">
        <is>
          <t>2026-09-22(화)</t>
        </is>
      </c>
      <c r="H142" t="inlineStr">
        <is>
          <t>신규(9/15). 액션센터 전체(10/3) 전에 승인 대기만 먼저 보이게 한다 — 시연 1순위 흐름의 마지막 칸</t>
        </is>
      </c>
    </row>
    <row r="143">
      <c r="A143" t="inlineStr">
        <is>
          <t>2</t>
        </is>
      </c>
      <c r="B143" t="inlineStr">
        <is>
          <t>기반 인프라</t>
        </is>
      </c>
      <c r="C143" t="inlineStr">
        <is>
          <t>N10 예약 생성·상세 모달(캘린더 내)</t>
        </is>
      </c>
      <c r="D143" t="inlineStr">
        <is>
          <t>최상</t>
        </is>
      </c>
      <c r="E143" t="inlineStr">
        <is>
          <t>예정</t>
        </is>
      </c>
      <c r="F143" t="inlineStr">
        <is>
          <t>본인 — Claude Code(터미널 직접실행 권장)</t>
        </is>
      </c>
      <c r="G143" t="inlineStr">
        <is>
          <t>2026-09-23(수)</t>
        </is>
      </c>
      <c r="H143" t="inlineStr">
        <is>
          <t>신규(9/15). GET/POST/PATCH 예약 3종이 이미 있고 호출처가 0곳. r71 딥링크가 이 모달을 전제</t>
        </is>
      </c>
    </row>
    <row r="144">
      <c r="A144" t="inlineStr">
        <is>
          <t>4</t>
        </is>
      </c>
      <c r="B144" t="inlineStr">
        <is>
          <t>청소·시설 관리</t>
        </is>
      </c>
      <c r="C144" t="inlineStr">
        <is>
          <t>N11a 청소 서비스 + 라우터(선제생성·상태전이·목록)</t>
        </is>
      </c>
      <c r="D144" t="inlineStr">
        <is>
          <t>최상</t>
        </is>
      </c>
      <c r="E144" t="inlineStr">
        <is>
          <t>예정</t>
        </is>
      </c>
      <c r="F144" t="inlineStr">
        <is>
          <t>본인 — Claude Code(터미널 직접실행 권장)</t>
        </is>
      </c>
      <c r="G144" t="inlineStr">
        <is>
          <t>2026-09-24(목)</t>
        </is>
      </c>
      <c r="H144" t="inlineStr">
        <is>
          <t>신규(9/15). r77~r83이 전부 이 서비스를 전제하는데 services/cleaning 파일이 없었다</t>
        </is>
      </c>
    </row>
    <row r="145">
      <c r="A145" t="inlineStr">
        <is>
          <t>4</t>
        </is>
      </c>
      <c r="B145" t="inlineStr">
        <is>
          <t>청소·시설 관리</t>
        </is>
      </c>
      <c r="C145" t="inlineStr">
        <is>
          <t>N11b /cleaning 화면(목록·상태 전이·사진)</t>
        </is>
      </c>
      <c r="D145" t="inlineStr">
        <is>
          <t>상</t>
        </is>
      </c>
      <c r="E145" t="inlineStr">
        <is>
          <t>예정</t>
        </is>
      </c>
      <c r="F145" t="inlineStr">
        <is>
          <t>본인 — Claude Code(터미널 직접실행 권장)</t>
        </is>
      </c>
      <c r="G145" t="inlineStr">
        <is>
          <t>2026-09-26(토)</t>
        </is>
      </c>
      <c r="H145" t="inlineStr">
        <is>
          <t>신규(9/15). r80·r82·r83이 이 화면에 얹히는 작업인데 화면을 만드는 행이 없었다</t>
        </is>
      </c>
    </row>
    <row r="146">
      <c r="A146" t="inlineStr">
        <is>
          <t>5.5</t>
        </is>
      </c>
      <c r="B146" t="inlineStr">
        <is>
          <t>통합QA·보안</t>
        </is>
      </c>
      <c r="C146" t="inlineStr">
        <is>
          <t>N13 배치 수동 트리거(checkout_time COMPLETED 전이 포함)</t>
        </is>
      </c>
      <c r="D146" t="inlineStr">
        <is>
          <t>최상</t>
        </is>
      </c>
      <c r="E146" t="inlineStr">
        <is>
          <t>예정</t>
        </is>
      </c>
      <c r="F146" t="inlineStr">
        <is>
          <t>본인 — Claude Code(터미널 직접실행 권장)</t>
        </is>
      </c>
      <c r="G146" t="inlineStr">
        <is>
          <t>2026-09-28(월)</t>
        </is>
      </c>
      <c r="H146" t="inlineStr">
        <is>
          <t>신규(9/15). batch/scheduler.py가 비어 있고 lifespan도 아무것도 기동하지 않는다. r84 4단계 검증이 이 전이를 전제</t>
        </is>
      </c>
    </row>
    <row r="147">
      <c r="A147" t="inlineStr">
        <is>
          <t>5</t>
        </is>
      </c>
      <c r="B147" t="inlineStr">
        <is>
          <t>정산 리포트</t>
        </is>
      </c>
      <c r="C147" t="inlineStr">
        <is>
          <t>N12a 정산 서비스 + 라우터(월별 집계·확정)</t>
        </is>
      </c>
      <c r="D147" t="inlineStr">
        <is>
          <t>최상</t>
        </is>
      </c>
      <c r="E147" t="inlineStr">
        <is>
          <t>예정</t>
        </is>
      </c>
      <c r="F147" t="inlineStr">
        <is>
          <t>본인 — Claude Code(터미널 직접실행 권장)</t>
        </is>
      </c>
      <c r="G147" t="inlineStr">
        <is>
          <t>2026-09-29(화)</t>
        </is>
      </c>
      <c r="H147" t="inlineStr">
        <is>
          <t>신규(9/15). 선행: api_contract 5.3절 GET /settlements 응답 스펙 신설(현재 표 한 줄뿐이고 스펙이 없다)</t>
        </is>
      </c>
    </row>
    <row r="148">
      <c r="A148" t="inlineStr">
        <is>
          <t>5</t>
        </is>
      </c>
      <c r="B148" t="inlineStr">
        <is>
          <t>정산 리포트</t>
        </is>
      </c>
      <c r="C148" t="inlineStr">
        <is>
          <t>N12b /settlements 화면(월 목록·집계 표시)</t>
        </is>
      </c>
      <c r="D148" t="inlineStr">
        <is>
          <t>상</t>
        </is>
      </c>
      <c r="E148" t="inlineStr">
        <is>
          <t>예정</t>
        </is>
      </c>
      <c r="F148" t="inlineStr">
        <is>
          <t>본인 — Claude Code(터미널 직접실행 권장)</t>
        </is>
      </c>
      <c r="G148" t="inlineStr">
        <is>
          <t>2026-09-30(수)</t>
        </is>
      </c>
      <c r="H148" t="inlineStr">
        <is>
          <t>신규(9/15). r91·r92·r94·r106이 전부 이 화면에 얹히는 작업인데 1단계 목록을 만드는 행이 없었다</t>
        </is>
      </c>
    </row>
    <row r="149">
      <c r="A149" t="inlineStr">
        <is>
          <t>5.5</t>
        </is>
      </c>
      <c r="B149" t="inlineStr">
        <is>
          <t>통합QA·보안</t>
        </is>
      </c>
      <c r="C149" t="inlineStr">
        <is>
          <t>통합 버퍼 — 미완 흡수 / 핵심 시나리오 점검</t>
        </is>
      </c>
      <c r="D149" t="inlineStr">
        <is>
          <t>최상</t>
        </is>
      </c>
      <c r="E149" t="inlineStr">
        <is>
          <t>예정</t>
        </is>
      </c>
      <c r="F149" t="inlineStr">
        <is>
          <t>본인 — Claude Code(터미널 직접실행 권장)</t>
        </is>
      </c>
      <c r="G149" t="inlineStr">
        <is>
          <t>2026-10-04(일)</t>
        </is>
      </c>
      <c r="H149" t="inlineStr">
        <is>
          <t>신규(9/15). 비어 있던 날을 버퍼로 둔다. 새 기능을 넣지 않고 밀린 것만 흡수한다</t>
        </is>
      </c>
    </row>
  </sheetData>
  <mergeCells count="1">
    <mergeCell ref="A1:H1"/>
  </mergeCells>
  <conditionalFormatting sqref="E4:E131">
    <cfRule type="cellIs" rank="0" priority="2" equalAverage="0" operator="equal" aboveAverage="0" dxfId="0" text="" percent="0" bottom="0">
      <formula>"완료"</formula>
    </cfRule>
    <cfRule type="cellIs" rank="0" priority="3" equalAverage="0" operator="equal" aboveAverage="0" dxfId="1" text="" percent="0" bottom="0">
      <formula>"진행중"</formula>
    </cfRule>
    <cfRule type="cellIs" rank="0" priority="4" equalAverage="0" operator="equal" aboveAverage="0" dxfId="2" text="" percent="0" bottom="0">
      <formula>"예정"</formula>
    </cfRule>
  </conditionalFormatting>
  <conditionalFormatting sqref="D4:D131">
    <cfRule type="cellIs" rank="0" priority="5" equalAverage="0" operator="equal" aboveAverage="0" dxfId="3" text="" percent="0" bottom="0">
      <formula>"최상"</formula>
    </cfRule>
  </conditionalFormatting>
  <dataValidations count="4">
    <dataValidation sqref="E4:E131" showDropDown="0" showInputMessage="0" showErrorMessage="0" allowBlank="1" type="list" errorStyle="stop" operator="between">
      <formula1>"예정,진행중,완료,보류"</formula1>
      <formula2>0</formula2>
    </dataValidation>
    <dataValidation sqref="D4:D131" showDropDown="0" showInputMessage="0" showErrorMessage="0" allowBlank="1" type="list" errorStyle="stop" operator="between">
      <formula1>"최상,상,중,하"</formula1>
      <formula2>0</formula2>
    </dataValidation>
    <dataValidation sqref="B4:B131" showDropDown="0" showInputMessage="0" showErrorMessage="0" allowBlank="1" type="list" errorStyle="stop" operator="between">
      <formula1>"데이터모델 설계(P0),UI/UX 설계,기반 인프라,고객 응대 자동화,비대면 체크인,청소·시설 관리,정산 리포트,동적 가격 책정,알림·액션센터,컴플라이언스,통합QA·보안,마무리,최종 데모검증"</formula1>
      <formula2>0</formula2>
    </dataValidation>
    <dataValidation sqref="A4:A131" showDropDown="0" showInputMessage="0" showErrorMessage="0" allowBlank="1" type="list" errorStyle="stop" operator="between">
      <formula1>"1,1.5,2,3,4,5,5.5,6,6.5"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88" min="1" max="1"/>
    <col width="16" customWidth="1" style="88" min="2" max="2"/>
    <col width="48" customWidth="1" style="88" min="3" max="4"/>
    <col width="18" customWidth="1" style="88" min="5" max="5"/>
  </cols>
  <sheetData>
    <row r="1" ht="23.85" customHeight="1" s="89">
      <c r="A1" s="95" t="inlineStr">
        <is>
          <t>9단계 검증 체크리스트 (결과 확인 리스트)</t>
        </is>
      </c>
    </row>
    <row r="3" ht="17.15" customHeight="1" s="89">
      <c r="A3" s="91" t="inlineStr">
        <is>
          <t>단계</t>
        </is>
      </c>
      <c r="B3" s="91" t="inlineStr">
        <is>
          <t>검증 예정일</t>
        </is>
      </c>
      <c r="C3" s="91" t="inlineStr">
        <is>
          <t>결과 확인 리스트(Definition of Done)</t>
        </is>
      </c>
      <c r="D3" s="88" t="inlineStr">
        <is>
          <t>판정 근거(9/9 추가)</t>
        </is>
      </c>
    </row>
    <row r="4" ht="94.5" customHeight="1" s="89">
      <c r="A4" s="139" t="inlineStr">
        <is>
          <t>1단계: 데이터모델(P0)</t>
        </is>
      </c>
      <c r="B4" s="140" t="inlineStr">
        <is>
          <t>2026-09-04(금)</t>
        </is>
      </c>
      <c r="C4" s="140" t="inlineStr">
        <is>
          <t>□ Host-Property-Room-Bed 계층이 3룸숙소/호스텔 둘 다 표현되는가
□ ENUM/상태값 3종(reservation/refund/financial)이 분리됐는가
□ ERD와 API Contract가 실제 스키마와 일치하는가</t>
        </is>
      </c>
    </row>
    <row r="5" ht="94.5" customHeight="1" s="89">
      <c r="A5" s="139" t="inlineStr">
        <is>
          <t>1.5단계: UI/UX 설계</t>
        </is>
      </c>
      <c r="B5" s="140" t="inlineStr">
        <is>
          <t>2026-09-09(수)</t>
        </is>
      </c>
      <c r="C5" s="140" t="inlineStr">
        <is>
          <t>☑ 11개 화면 목록에 빠진 화면이 없는가
☑ 설계 문서(ui_design 6·7절)와 구현 계획이 실제 사용흐름과 맞는가
☑ 공통 컴포넌트(Loading/Empty/Error/Toast)가 정의됐는가
☑ 회원가입/로그인 플로우가 설계에 포함됐는가</t>
        </is>
      </c>
      <c r="D5" s="88" t="inlineStr">
        <is>
          <t>① ui_design 7-7 커버리지 표로 11개 라우트 전수 확인
② 후보 25건 추출, 3회 독립 크로스체크로 판정 — 완료 9 / 종결·흡수 4 / 부분 3 / 미완 9. 미완은 전부 착수일 지정하여 이월
③ ui_design 5-9절. 9/9에 폼 화면용 어휘(입력대기/제출중/실패/성공)를 추가로 분리
④ api_contract v2.3, ui_design 4-1·4-2·7-2, 401 정책 1-6</t>
        </is>
      </c>
    </row>
    <row r="6" ht="94.5" customHeight="1" s="89">
      <c r="A6" s="139" t="inlineStr">
        <is>
          <t>2단계: 기반 인프라</t>
        </is>
      </c>
      <c r="B6" s="140" t="inlineStr">
        <is>
          <t>2026-09-15(화)</t>
        </is>
      </c>
      <c r="C6" s="141" t="inlineStr">
        <is>
          <t>□ 실제 iCal URL로 캘린더 반영/중복감지가 되는가
□ 3룸 전체예약시 하위 Room이 모두 블록되는가
□ 스테이징 배포(Vercel/Render/Supabase)가 조기에 연결됐는가
□ '실시간' 표현이 남아있지 않은가</t>
        </is>
      </c>
    </row>
    <row r="7" ht="94.5" customHeight="1" s="89">
      <c r="A7" s="139" t="inlineStr">
        <is>
          <t>3단계: 고객 응대 자동화</t>
        </is>
      </c>
      <c r="B7" s="140" t="inlineStr">
        <is>
          <t>2026-09-27(일)</t>
        </is>
      </c>
      <c r="C7" s="141" t="inlineStr">
        <is>
          <t>□ 교차오답 없이 숙소별로 정확히 분리되는가
□ 영/중/일 응답이 자연스러운가
□ LLM 응답지연시 스켈레톤/로딩 UI가 뜨는가
□ API 실패시 에러 UI가 뜨는가(빈화면 아님)</t>
        </is>
      </c>
    </row>
    <row r="8" ht="94.5" customHeight="1" s="89">
      <c r="A8" s="139" t="inlineStr">
        <is>
          <t>4단계: 체크인+청소</t>
        </is>
      </c>
      <c r="B8" s="140" t="inlineStr">
        <is>
          <t>2026-10-03(토)</t>
        </is>
      </c>
      <c r="C8" s="141" t="inlineStr">
        <is>
          <t>□ 체크아웃→청소생성→상태전이가 정상 흐르는가
□ 예약변경시 청소시간이 재계산되는가
□ Empty/Error 상태가 청소·체크인 화면에도 적용됐는가</t>
        </is>
      </c>
    </row>
    <row r="9" ht="94.5" customHeight="1" s="89">
      <c r="A9" s="139" t="inlineStr">
        <is>
          <t>5단계: 정산·가격·알림·컴플라이언스</t>
        </is>
      </c>
      <c r="B9" s="140" t="inlineStr">
        <is>
          <t>2026-10-07(수)</t>
        </is>
      </c>
      <c r="C9" s="141" t="inlineStr">
        <is>
          <t>□ 정산 3단계 파이프라인이 실데이터로 재현되는가
□ 취소/환불이 매출에서 자동 제외되는가
□ Action Center가 규칙대로만 트리거되는가(AI판단 없이)
□ 시드데이터가 정상 반영됐는가</t>
        </is>
      </c>
    </row>
    <row r="10" ht="94.5" customHeight="1" s="89">
      <c r="A10" s="139" t="inlineStr">
        <is>
          <t>5.5단계: 통합QA·보안</t>
        </is>
      </c>
      <c r="B10" s="140" t="inlineStr">
        <is>
          <t>2026-10-08(목)</t>
        </is>
      </c>
      <c r="C10" s="141" t="inlineStr">
        <is>
          <t>□ 전체 플로우 회귀테스트를 통과했는가
□ 중복예약/취소/API실패 등 예외케이스 에러UI를 확인했는가
□ 비밀번호 해시/.env/GitHub secret 노출이 없는가
□ 모든 Mock 기능에 '시뮬레이션' 뱃지가 표시되는가
□ README가 작성됐는가</t>
        </is>
      </c>
    </row>
    <row r="11" ht="94.5" customHeight="1" s="89">
      <c r="A11" s="139" t="inlineStr">
        <is>
          <t>6단계: 마무리</t>
        </is>
      </c>
      <c r="B11" s="140" t="inlineStr">
        <is>
          <t>2026-10-10(토)</t>
        </is>
      </c>
      <c r="C11" s="141" t="inlineStr">
        <is>
          <t>□ 프로덕션 배포본이 실제로 접속되는가
□ 슬라이드/영상에 Mock/Real 표현 오류가 없는가
□ 영상 음성 나레이션이 끝까지 정상 재생되는가
□ 제출 포맷/용량이 요건에 맞는가</t>
        </is>
      </c>
    </row>
    <row r="12" ht="94.5" customHeight="1" s="89">
      <c r="A12" s="139" t="inlineStr">
        <is>
          <t>6.5단계: 최종 데모검증</t>
        </is>
      </c>
      <c r="B12" s="140" t="inlineStr">
        <is>
          <t>2026-10-11(일)</t>
        </is>
      </c>
      <c r="C12" s="141" t="inlineStr">
        <is>
          <t>□ 시드데이터 재실행 후 데모 데이터가 깨끗한가
□ E2E 시나리오(로그인→...→정산)가 끊김없이 진행되는가
□ 발표 당일(10/12) 웜업 절차를 확인했는가 — 전날 웨이크업은 15분 뒤 무효
□ 예상 Q&amp;A 답변이 준비됐는가
□ 발표영상 실제 재생 확인(음성·화면 끝까지 끊김없이 재생되는지)</t>
        </is>
      </c>
    </row>
    <row r="15" ht="17.35" customHeight="1" s="89">
      <c r="A15" s="142" t="inlineStr">
        <is>
          <t>일자별 할 일 리스트</t>
        </is>
      </c>
    </row>
    <row r="16" ht="17.15" customHeight="1" s="89">
      <c r="A16" s="91" t="inlineStr">
        <is>
          <t>날짜(요일)</t>
        </is>
      </c>
      <c r="B16" s="91" t="inlineStr">
        <is>
          <t>단계</t>
        </is>
      </c>
      <c r="C16" s="91" t="inlineStr">
        <is>
          <t>주간(본인+Claude·구현)</t>
        </is>
      </c>
      <c r="D16" s="91" t="inlineStr">
        <is>
          <t>야간(본인+Gemini·기획/콘텐츠)</t>
        </is>
      </c>
      <c r="E16" s="91" t="inlineStr">
        <is>
          <t>비고</t>
        </is>
      </c>
    </row>
    <row r="17" ht="31.5" customHeight="1" s="89">
      <c r="A17" s="143" t="inlineStr">
        <is>
          <t>2026-08-31(월)</t>
        </is>
      </c>
      <c r="B17" s="140" t="inlineStr">
        <is>
          <t>1단계</t>
        </is>
      </c>
      <c r="C17" s="144" t="inlineStr">
        <is>
          <t>□ [신규] STEP0: DB명세서v1(3rd_host_ai_db_spec_v1.md)을 스키마 최종권위 문서로 확정 + 구버전 ERD(guests/payments 등 포함 폐기 초안) 폐기처리</t>
        </is>
      </c>
      <c r="D17" s="145" t="inlineStr">
        <is>
          <t>□ [P0] Host-Property-Room-Bed 계층 스키마 확정(모두 optional)
□ [P0] Property.accommodation_type 단일 ENUM 필드 확정</t>
        </is>
      </c>
      <c r="E17" s="146" t="n"/>
    </row>
    <row r="18" ht="111.75" customHeight="1" s="89">
      <c r="A18" s="143" t="inlineStr">
        <is>
          <t>2026-09-01(화)</t>
        </is>
      </c>
      <c r="B18" s="140" t="inlineStr">
        <is>
          <t>1단계</t>
        </is>
      </c>
      <c r="C18" s="144" t="inlineStr">
        <is>
          <t>□ Reservation CHECK 제약(bookable_unit_type↔room_id/bed_id 조합) 확정
□ ROOMS/BEDS 계층 복합FK+UNIQUE + Reservation↔Channel/Room/Bed 동일Property 보장(통합확정)</t>
        </is>
      </c>
      <c r="D18" s="145" t="inlineStr">
        <is>
          <t>□ [P0] Reservation.bookable_unit_type(PROPERTY/ROOM/BED) 설계
□ [P0] PROPERTY 단위 예약시 하위 Room 전체 블록 인터셉터 로직 정의(본인 3룸숙소 실제케이스)
□ [P0] reservation_status / refund_status 분리 설계
□ UNIQUE 복합제약 3종 확정(channel_connection_id+external_uid / property_id+target_month / property_id+channel)
□ INQUIRY_RESPONSES 1:N + is_latest 플래그 설계 확정
□ FINANCIAL_CONFIGS→MONTHLY_SETTLEMENTS 관계 제거(스냅샷 분리) 확정
□ [신규] 제출용 기획서 초안 작성(주제/선정이유/일정표/기술스택 — 기존 대화내용 취합)</t>
        </is>
      </c>
      <c r="E18" s="146" t="n"/>
    </row>
    <row r="19" ht="111.75" customHeight="1" s="89">
      <c r="A19" s="143" t="inlineStr">
        <is>
          <t>2026-09-02(수)</t>
        </is>
      </c>
      <c r="B19" s="140" t="inlineStr">
        <is>
          <t>1단계</t>
        </is>
      </c>
      <c r="C19" s="144" t="inlineStr">
        <is>
          <t>□ [P0] Property 단위 데이터 격리 원칙 확정(KB/Reservation/Checklist/SmartLock 전체)
□ [신규] DB명세서↔ERD↔체크리스트 3문서 최종 동기화 확인
□ [신규] 기획서 최종 검토 및 다듬기
□ [신규] Azure Cloud 서비스 확인 완료 → Render로 최종 확정(Azure 전환 안함)
□ [신규] Google AI Studio 무료 Gemini API키 미리 발급(백업용, 5분 소요, 스택변경 아님)</t>
        </is>
      </c>
      <c r="D19" s="145" t="inlineStr">
        <is>
          <t>□ [P0] financial_status(ESTIMATED/CONFIRMED/MANUALLY_ADJUSTED) 필드 설계
□ [P0] 날짜 5종 분리 확정(booked_at/check_in/check_out/expected_settlement_at/actual_settlement_at)
□ [P0] ChannelConnection 모델 설계(channel/external_property_id/sync_status/last_synced_at)
□ [P0] ChecklistTemplate.renewal_trigger_type(NONE/EXPIRATION_BASED/EVENT_BASED) 필드 추가
□ ACTION_ITEMS 중복생성 idempotency 정책 문서화(동일 reservation_id+category+OPEN 재사용)
□ risk_level '규칙기반 우선순위'로 문서화(법적판단 아님 명시)
□ 인덱스 요구사항 목록화(property_id 계열 전체+ActionCenter 복합인덱스, 실제생성은 9/5)</t>
        </is>
      </c>
      <c r="E19" s="146" t="n"/>
    </row>
    <row r="20" ht="48" customHeight="1" s="89">
      <c r="A20" s="143" t="inlineStr">
        <is>
          <t>2026-09-03(목)</t>
        </is>
      </c>
      <c r="B20" s="140" t="inlineStr">
        <is>
          <t>1단계</t>
        </is>
      </c>
      <c r="C20" s="144" t="inlineStr">
        <is>
          <t>□ [신규] ✅ 기획서 제출(오전 11시 마감 — 주제/선정이유/일정표/기술스택 포함)</t>
        </is>
      </c>
      <c r="D20" s="145" t="inlineStr">
        <is>
          <t>□ [신규] ERD 다이어그램 작성(전체 엔티티 관계도)
□ [신규] API Contract(엔드포인트 목록·요청/응답 스펙) 정의
□ [신규] 상태전이/이벤트 구조 다이어그램 정리(예약→청소→정산→알림 연결)</t>
        </is>
      </c>
      <c r="E20" s="146" t="n"/>
    </row>
    <row r="21" ht="19.5" customHeight="1" s="89">
      <c r="A21" s="143" t="inlineStr">
        <is>
          <t>2026-09-04(금)</t>
        </is>
      </c>
      <c r="B21" s="140" t="inlineStr">
        <is>
          <t>1단계</t>
        </is>
      </c>
      <c r="C21" s="144" t="inlineStr">
        <is>
          <t>□ [검증] ✅ 1단계 검증: 스키마+ERD+API Contract 대조 확인</t>
        </is>
      </c>
      <c r="D21" s="145" t="inlineStr">
        <is>
          <t>-</t>
        </is>
      </c>
      <c r="E21" s="146" t="n"/>
    </row>
    <row r="22" ht="63.75" customHeight="1" s="89">
      <c r="A22" s="143" t="inlineStr">
        <is>
          <t>2026-09-05(토)</t>
        </is>
      </c>
      <c r="B22" s="140" t="inlineStr">
        <is>
          <t>2단계,6단계</t>
        </is>
      </c>
      <c r="C22" s="144" t="inlineStr">
        <is>
          <t>□ [신규] 로컬 개발 DB를 Docker Postgres로 전환 결정 및 세팅(MariaDB 대신, 문법불일치 리스크 원천차단)
□ DB 스키마 구현(위 P0 설계 반영)
□ [신규] GET /health 헬스체크 엔드포인트 구현(DB조회없이 즉시 응답, Render 슬립방지용 UptimeRobot 핑 대상)
□ [신규] .env/.gitignore 초기 설정(API키·DB접속정보 분리, git 커밋 전 필수)</t>
        </is>
      </c>
      <c r="D22" s="145" t="inlineStr">
        <is>
          <t>□ [신규] 녹화·편집 환경 설정(OBS 설정+편집툴 확정)</t>
        </is>
      </c>
      <c r="E22" s="146" t="n"/>
    </row>
    <row r="23" ht="48" customHeight="1" s="89">
      <c r="A23" s="147" t="inlineStr">
        <is>
          <t>2026-09-07(월)</t>
        </is>
      </c>
      <c r="B23" s="140" t="inlineStr">
        <is>
          <t>1.5단계</t>
        </is>
      </c>
      <c r="C23" s="144" t="inlineStr">
        <is>
          <t>-</t>
        </is>
      </c>
      <c r="D23" s="145" t="inlineStr">
        <is>
          <t>□ [신규] 전체 화면목록 확정(로그인·회원가입·온보딩2스텝·대시보드·캘린더·AI인박스·액션센터·청소·정산·컴플라이언스(설정탭)·지식베이스·설정)
□ [신규] 핵심 화면 와이어프레임 제작(대시보드·예약모달·AI인박스·정산·온보딩)
□ [신규] 디자인시스템 공통 컴포넌트 정의(Header/Sidebar/Card/Badge/Modal/Toast/Loading/EmptyState)</t>
        </is>
      </c>
      <c r="E23" s="148" t="inlineStr">
        <is>
          <t>🌙 연장근무일(+3h)</t>
        </is>
      </c>
    </row>
    <row r="24" ht="19.5" customHeight="1" s="89">
      <c r="A24" s="143" t="inlineStr">
        <is>
          <t>2026-09-08(화)</t>
        </is>
      </c>
      <c r="B24" s="140" t="inlineStr">
        <is>
          <t>2단계</t>
        </is>
      </c>
      <c r="C24" s="149" t="inlineStr">
        <is>
          <t>☑ 통합 대시보드 뼈대(3~5개 숙소 한눈에 보기)</t>
        </is>
      </c>
      <c r="D24" s="145" t="inlineStr">
        <is>
          <t>-</t>
        </is>
      </c>
      <c r="E24" s="146" t="n"/>
    </row>
    <row r="25" ht="31.5" customHeight="1" s="89">
      <c r="A25" s="147" t="inlineStr">
        <is>
          <t>2026-09-09(수)</t>
        </is>
      </c>
      <c r="B25" s="140" t="inlineStr">
        <is>
          <t>1.5단계</t>
        </is>
      </c>
      <c r="C25" s="144" t="inlineStr">
        <is>
          <t>☑ [신규] 회원가입/로그인 화면+API 설계(JWT)
☑ [검증] ✅ 1.5단계 검증: 와이어프레임 실제 흐름대로 클릭 시뮬레이션 리뷰</t>
        </is>
      </c>
      <c r="D25" s="145" t="inlineStr">
        <is>
          <t>☑ [신규] User Flow 다이어그램 작성(화면간 이동 구조)</t>
        </is>
      </c>
      <c r="E25" s="148" t="inlineStr">
        <is>
          <t>🌙 연장근무일(+3h)
※ User Flow는 D열(야간·Gemini)에 있으나 실제로는 Claude Code가 주간에 작성. 열은 옮기지 않았다(9/9).</t>
        </is>
      </c>
    </row>
    <row r="26" ht="19.5" customHeight="1" s="89">
      <c r="A26" s="143" t="inlineStr">
        <is>
          <t>2026-09-10(목)</t>
        </is>
      </c>
      <c r="B26" s="140" t="inlineStr">
        <is>
          <t>2단계</t>
        </is>
      </c>
      <c r="C26" s="144" t="inlineStr">
        <is>
          <t>☑ iCal 연동 + ChannelConnection 구현(sync_status/last_synced_at 표시)</t>
        </is>
      </c>
      <c r="D26" s="145" t="inlineStr">
        <is>
          <t>-</t>
        </is>
      </c>
      <c r="E26" s="146" t="n"/>
    </row>
    <row r="27" ht="19.5" customHeight="1" s="89">
      <c r="A27" s="147" t="inlineStr">
        <is>
          <t>2026-09-11(금)</t>
        </is>
      </c>
      <c r="B27" s="140" t="inlineStr">
        <is>
          <t>2단계</t>
        </is>
      </c>
      <c r="C27" s="144" t="inlineStr">
        <is>
          <t>☑ [신규] 회원가입/로그인 화면+API 구현(JWT, 비밀번호는 bcrypt 해시로 저장)</t>
        </is>
      </c>
      <c r="D27" s="145" t="inlineStr">
        <is>
          <t>-</t>
        </is>
      </c>
      <c r="E27" s="148" t="inlineStr">
        <is>
          <t>🌙 연장근무일(+3h)</t>
        </is>
      </c>
    </row>
    <row r="28" ht="31.5" customHeight="1" s="89">
      <c r="A28" s="143" t="inlineStr">
        <is>
          <t>2026-09-12(토)</t>
        </is>
      </c>
      <c r="B28" s="140" t="inlineStr">
        <is>
          <t>2단계</t>
        </is>
      </c>
      <c r="C28" s="149" t="inlineStr">
        <is>
          <t>☑ 통합 캘린더 뷰: 독채=Property행 / 호스텔=Room 아코디언-Bed행
□ iCal 동기화 시점 중복예약 충돌 감지 + 수동 새로고침 버튼</t>
        </is>
      </c>
      <c r="D28" s="145" t="inlineStr">
        <is>
          <t>-</t>
        </is>
      </c>
      <c r="E28" s="146" t="n"/>
    </row>
    <row r="29" ht="31.5" customHeight="1" s="89">
      <c r="A29" s="147" t="inlineStr">
        <is>
          <t>2026-09-14(월)</t>
        </is>
      </c>
      <c r="B29" s="140" t="inlineStr">
        <is>
          <t>2단계</t>
        </is>
      </c>
      <c r="C29" s="144" t="inlineStr">
        <is>
          <t>☑ Property 전체대여시 하위 Room 전체 블록 인터셉터 구현(본인 3룸숙소 핵심케이스)
☑ [검증] EXCLUDE USING GIST 겹침방지 제약조건 실제동작 테스트(겹침예약 insert시 DB레벨 차단 확인)</t>
        </is>
      </c>
      <c r="D29" s="145" t="inlineStr">
        <is>
          <t>☑ Room 전체대여시 하위 Bed 전체 블록 인터셉터 구현(호스텔 확장용)</t>
        </is>
      </c>
      <c r="E29" s="148" t="inlineStr">
        <is>
          <t>🌙 연장근무일(+3h)</t>
        </is>
      </c>
    </row>
    <row r="30" ht="19.5" customHeight="1" s="89">
      <c r="A30" s="143" t="inlineStr">
        <is>
          <t>2026-09-15(화)</t>
        </is>
      </c>
      <c r="B30" s="140" t="inlineStr">
        <is>
          <t>2단계</t>
        </is>
      </c>
      <c r="C30" s="144" t="inlineStr">
        <is>
          <t>□ [검증] ✅ 2단계 검증: 실제 iCal URL로 캘린더 반영·중복감지 정상동작 확인</t>
        </is>
      </c>
      <c r="D30" s="150" t="inlineStr">
        <is>
          <t>□ 네이버예약 채널카드 UI '내보내기 전용' 표시</t>
        </is>
      </c>
      <c r="E30" s="146" t="n"/>
    </row>
    <row r="31" ht="31.5" customHeight="1" s="89">
      <c r="A31" s="143" t="inlineStr">
        <is>
          <t>2026-09-16(수)</t>
        </is>
      </c>
      <c r="B31" s="140" t="inlineStr">
        <is>
          <t>2단계</t>
        </is>
      </c>
      <c r="C31" s="149" t="inlineStr">
        <is>
          <t>□ [신규] 채널연결(iCal URL) 실패시 에러 안내 UI(잘못된 URL/파싱실패 케이스)
☑ [신규] 로딩/에러/빈상태 공통 컴포넌트 적용 시작(캘린더 화면)</t>
        </is>
      </c>
      <c r="D31" s="145" t="inlineStr">
        <is>
          <t>-</t>
        </is>
      </c>
      <c r="E31" s="146" t="n"/>
    </row>
    <row r="32" ht="31.5" customHeight="1" s="89">
      <c r="A32" s="147" t="inlineStr">
        <is>
          <t>2026-09-17(목)</t>
        </is>
      </c>
      <c r="B32" s="140" t="inlineStr">
        <is>
          <t>3단계</t>
        </is>
      </c>
      <c r="C32" s="144" t="inlineStr">
        <is>
          <t>□ 자체 통합 인박스(게스트 채팅 시뮬레이터 UI)
☑ [신규] Claude API 초기설정: $5 선충전 + 월 Spend Limit $10 설정 + Dev/Prod API키 분리</t>
        </is>
      </c>
      <c r="D32" s="145" t="inlineStr">
        <is>
          <t>-</t>
        </is>
      </c>
      <c r="E32" s="148" t="n"/>
    </row>
    <row r="33" ht="19.5" customHeight="1" s="89">
      <c r="A33" s="143" t="inlineStr">
        <is>
          <t>2026-09-18(금)</t>
        </is>
      </c>
      <c r="B33" s="140" t="inlineStr">
        <is>
          <t>3단계</t>
        </is>
      </c>
      <c r="C33" s="144" t="inlineStr">
        <is>
          <t>□ [신규] LLM 응답 로딩/스켈레톤 UI(3~8초 지연 대응)</t>
        </is>
      </c>
      <c r="D33" s="150" t="inlineStr">
        <is>
          <t>□ 숙소별 RAG 지식베이스 구축(로컬 벡터검색, LLM비용無) + property_id 스코프 격리 + 개발용 응답캐시(동일질문 반복시 API 미호출)</t>
        </is>
      </c>
      <c r="E33" s="146" t="inlineStr">
        <is>
          <t>🌙 연장근무일(+3h)</t>
        </is>
      </c>
    </row>
    <row r="34" ht="31.5" customHeight="1" s="89">
      <c r="A34" s="147" t="inlineStr">
        <is>
          <t>2026-09-19(토)</t>
        </is>
      </c>
      <c r="B34" s="140" t="inlineStr">
        <is>
          <t>3단계</t>
        </is>
      </c>
      <c r="C34" s="144" t="inlineStr">
        <is>
          <t>□ [신규] AI 호출 재시도를 개별호출 2회로 제한(1문의=최대3 Claude호출) + 호출당 타임아웃(최초10초/재시도5초)
□ 문의 자동분류(예약/체크인/컴플레인/일반)</t>
        </is>
      </c>
      <c r="D34" s="145" t="inlineStr">
        <is>
          <t>-</t>
        </is>
      </c>
      <c r="E34" s="148" t="n"/>
    </row>
    <row r="35" ht="31.5" customHeight="1" s="89">
      <c r="A35" s="143" t="inlineStr">
        <is>
          <t>2026-09-21(월)</t>
        </is>
      </c>
      <c r="B35" s="140" t="inlineStr">
        <is>
          <t>3단계</t>
        </is>
      </c>
      <c r="C35" s="144" t="inlineStr">
        <is>
          <t>□ [신규] AI 문의 엔드포인트 Rate Limit(IP당 분당10회) + LLM 사용량 로깅(토큰/지연/상태 기록)
□ 외국인 게스트 언어 자동감지 + 다국어(영/중/일) 응답 생성</t>
        </is>
      </c>
      <c r="D35" s="145" t="inlineStr">
        <is>
          <t>-</t>
        </is>
      </c>
      <c r="E35" s="146" t="inlineStr">
        <is>
          <t>🌙 연장근무일(+3h)</t>
        </is>
      </c>
    </row>
    <row r="36" ht="63.75" customHeight="1" s="89">
      <c r="A36" s="147" t="inlineStr">
        <is>
          <t>2026-09-22(화)</t>
        </is>
      </c>
      <c r="B36" s="140" t="inlineStr">
        <is>
          <t>3단계</t>
        </is>
      </c>
      <c r="C36" s="144" t="inlineStr">
        <is>
          <t>□ 체크인/체크아웃 안내, 리뷰요청 자동화</t>
        </is>
      </c>
      <c r="D36" s="145" t="inlineStr">
        <is>
          <t>□ 위험도 분류 적용(자동:와이파이/체크인시간/주차/비번 vs 승인필요:환불/변경/할인/보상/민원/고장/안전)</t>
        </is>
      </c>
      <c r="E36" s="148" t="n"/>
    </row>
    <row r="37" ht="19.5" customHeight="1" s="89">
      <c r="A37" s="143" t="inlineStr">
        <is>
          <t>2026-09-23(수)</t>
        </is>
      </c>
      <c r="B37" s="140" t="inlineStr">
        <is>
          <t>3단계</t>
        </is>
      </c>
      <c r="C37" s="149" t="inlineStr">
        <is>
          <t>□ [신규] AI/iCal 실패시 에러 Toast·Fallback 안내 처리
□ AI 답변 '근거' 표시 UI(참고 KB 나열) + 마크다운 렌더링 처리
□ [신규] 예약 상세화면→AI대화내역→Action Center 처리이력으로 이어지는 통합 딥링크/단일플로우 구현
□ [신규] 중간 회귀체크포인트1: 1~3단계 기능 통합 재확인(예약→AI응대까지 흐름 재실행)</t>
        </is>
      </c>
      <c r="D37" s="150" t="inlineStr">
        <is>
          <t>-</t>
        </is>
      </c>
      <c r="E37" s="146" t="inlineStr">
        <is>
          <t>🌙 연장근무일(+3h)</t>
        </is>
      </c>
    </row>
    <row r="38" ht="31.5" customHeight="1" s="89">
      <c r="A38" s="147" t="inlineStr">
        <is>
          <t>2026-09-24(목)</t>
        </is>
      </c>
      <c r="B38" s="140" t="inlineStr">
        <is>
          <t>3단계,4단계</t>
        </is>
      </c>
      <c r="C38" s="144" t="inlineStr">
        <is>
          <t>□ [검증] ✅ 3단계 검증: 교차오답 테스트 + 의도적 API실패 유발후 에러UI 확인</t>
        </is>
      </c>
      <c r="D38" s="145" t="inlineStr">
        <is>
          <t>□ 청소 상태머신 구현(PENDING→ASSIGNED→IN_PROGRESS→COMPLETED→VERIFIED/ISSUE)</t>
        </is>
      </c>
      <c r="E38" s="148" t="n"/>
    </row>
    <row r="39" ht="31.5" customHeight="1" s="89">
      <c r="A39" s="143" t="inlineStr">
        <is>
          <t>2026-09-25(금)</t>
        </is>
      </c>
      <c r="B39" s="140" t="inlineStr">
        <is>
          <t>4단계</t>
        </is>
      </c>
      <c r="C39" s="149" t="inlineStr">
        <is>
          <t>□ 예약확정시 임시 비밀번호 자동생성/만료 로직
□ [신규] 예약확정 시점 청소작업 선제생성 로직(scheduled_at=체크아웃 시각, 9/3 크로스체크로 시점 정정 — 전날알림 기능 성립을 위해 필요)
□ 예약변경시 청소시간 자동 재계산 로직</t>
        </is>
      </c>
      <c r="D39" s="145" t="inlineStr">
        <is>
          <t>-</t>
        </is>
      </c>
      <c r="E39" s="146" t="n"/>
    </row>
    <row r="40" ht="19.5" customHeight="1" s="89">
      <c r="A40" s="147" t="inlineStr">
        <is>
          <t>2026-09-26(토)</t>
        </is>
      </c>
      <c r="B40" s="140" t="inlineStr">
        <is>
          <t>4단계</t>
        </is>
      </c>
      <c r="C40" s="144" t="inlineStr">
        <is>
          <t>□ [신규] Empty State/에러처리 청소·체크인 화면 반영
□ 스마트락 100% Mock 확정 + '시뮬레이션' 뱃지 표시
□ Mock 락 상태 대시보드(잠김/열림/배터리)</t>
        </is>
      </c>
      <c r="D40" s="145" t="inlineStr">
        <is>
          <t>-</t>
        </is>
      </c>
      <c r="E40" s="148" t="inlineStr">
        <is>
          <t>🗓 근무일 — 명절휴무는 9/24~25뿐(최종 스펙 요약 B22)</t>
        </is>
      </c>
    </row>
    <row r="41" ht="48" customHeight="1" s="89">
      <c r="A41" s="143" t="inlineStr">
        <is>
          <t>2026-09-28(월)</t>
        </is>
      </c>
      <c r="B41" s="140" t="inlineStr">
        <is>
          <t>4단계</t>
        </is>
      </c>
      <c r="C41" s="144" t="inlineStr">
        <is>
          <t>□ 문자API(알리고 등) 청소업체 알림 자동발송
□ 체크리스트+사진업로드 완료확인(VERIFIED 단계)</t>
        </is>
      </c>
      <c r="D41" s="145" t="inlineStr">
        <is>
          <t>□ 호스텔 객실(Room)단위 정비 체크리스트 + 비품부족 체크박스</t>
        </is>
      </c>
      <c r="E41" s="146" t="inlineStr">
        <is>
          <t>🌙 연장근무일(+3h)</t>
        </is>
      </c>
    </row>
    <row r="42" ht="31.5" customHeight="1" s="89">
      <c r="A42" s="147" t="inlineStr">
        <is>
          <t>2026-09-29(화)</t>
        </is>
      </c>
      <c r="B42" s="140" t="inlineStr">
        <is>
          <t>4단계,5단계</t>
        </is>
      </c>
      <c r="C42" s="149" t="inlineStr">
        <is>
          <t>□ [검증] ✅ 4단계 검증: 체크아웃→청소생성→상태전이 전체 흐름 1회 시뮬레이션</t>
        </is>
      </c>
      <c r="D42" s="150" t="inlineStr">
        <is>
          <t>□ 채널별 수수료 템플릿 설계(Airbnb 15.5%, Booking.com 15~18% 등)</t>
        </is>
      </c>
      <c r="E42" s="148" t="n"/>
    </row>
    <row r="43" ht="48" customHeight="1" s="89">
      <c r="A43" s="143" t="inlineStr">
        <is>
          <t>2026-09-30(수)</t>
        </is>
      </c>
      <c r="B43" s="140" t="inlineStr">
        <is>
          <t>5단계</t>
        </is>
      </c>
      <c r="C43" s="149" t="inlineStr">
        <is>
          <t>□ 1단계 자동추정 로직(Room 기본단가×박수-수수료)
□ 취소/환불 반영 로직(refund_status 연동, 매출 자동제외)</t>
        </is>
      </c>
      <c r="D43" s="150" t="inlineStr">
        <is>
          <t>-</t>
        </is>
      </c>
      <c r="E43" s="146" t="inlineStr">
        <is>
          <t>🌙 연장근무일(+3h)</t>
        </is>
      </c>
    </row>
    <row r="44" ht="96" customHeight="1" s="89">
      <c r="A44" s="147" t="inlineStr">
        <is>
          <t>2026-10-01(목)</t>
        </is>
      </c>
      <c r="B44" s="140" t="inlineStr">
        <is>
          <t>6단계,5단계</t>
        </is>
      </c>
      <c r="C44" s="144" t="inlineStr">
        <is>
          <t>□ Vercel+Render+Supabase 스테이징=프로덕션 서비스 생성(뼈대 프로젝트로 CORS/env 연결 테스트, 10/8에 그대로 정식승격)
□ [검증] .env.production 환경변수 설정(Vercel/Render/Supabase 키 분리)</t>
        </is>
      </c>
      <c r="D44" s="150" t="inlineStr">
        <is>
          <t>□ [신규] 개인정보 최소수집 원칙 점검(게스트데이터-RAG데이터 분리 확인)
□ 숙박업 유형별 체크리스트 정적 JSON 템플릿, 법정명칭 정확표기</t>
        </is>
      </c>
      <c r="E44" s="148" t="n"/>
    </row>
    <row r="45" ht="79.5" customHeight="1" s="89">
      <c r="A45" s="143" t="inlineStr">
        <is>
          <t>2026-10-02(금)</t>
        </is>
      </c>
      <c r="B45" s="140" t="inlineStr">
        <is>
          <t>5단계</t>
        </is>
      </c>
      <c r="C45" s="149" t="inlineStr">
        <is>
          <t>□ [신규] 시드 스크립트 실행 및 데이터 정상 반영 확인
□ 2단계 일괄확인(Bulk Confirm) UI
□ 3단계 예외보정(Inline Edit, 차이나는 건만)
□ 채널별/숙소별/월별 집계 + financial_status 뱃지 표시
□ EVENT_BASED 변경신고 D+30 카운트다운 로직</t>
        </is>
      </c>
      <c r="D45" s="150" t="inlineStr">
        <is>
          <t>□ [신규] 데모 시드 데이터 스크립트 작성(호스트1+숙소3+예약15~20건+문의+청소+정산+긴급알림 시나리오, 발표 시점 기준 상대시간(체크인 D-1.5시간 등) 자동계산 로직 포함)
□ 업종별 킬러요건 1~2개 노출(여권보관/수질검사/소방안전관리자 등)</t>
        </is>
      </c>
      <c r="E45" s="146" t="inlineStr">
        <is>
          <t>🌙 연장근무일(+3h)</t>
        </is>
      </c>
    </row>
    <row r="46" ht="63.75" customHeight="1" s="89">
      <c r="A46" s="147" t="inlineStr">
        <is>
          <t>2026-10-03(토)</t>
        </is>
      </c>
      <c r="B46" s="140" t="inlineStr">
        <is>
          <t>5단계</t>
        </is>
      </c>
      <c r="C46" s="144" t="inlineStr">
        <is>
          <t>□ [신규] Mock UI '시뮬레이션' 뱃지 통일 적용(가격반영/OTA메시징)
□ 🔴🟡🟢 통합 위젯 대시보드 구현
□ 각 이벤트 소스 연결(예약·청소·AI승인·서류만료·정산)</t>
        </is>
      </c>
      <c r="D46" s="145" t="inlineStr">
        <is>
          <t>□ Action Center 규칙기반 트리거 구현(최종스펙 규칙표 그대로)</t>
        </is>
      </c>
      <c r="E46" s="148" t="n"/>
    </row>
    <row r="47" ht="79.5" customHeight="1" s="89">
      <c r="A47" s="143" t="inlineStr">
        <is>
          <t>2026-10-05(월)</t>
        </is>
      </c>
      <c r="B47" s="140" t="inlineStr">
        <is>
          <t>5단계</t>
        </is>
      </c>
      <c r="C47" s="144" t="inlineStr">
        <is>
          <t>□ [신규] 중간 회귀체크포인트2: 4~5단계 진행분 재확인(청소→정산 흐름 재실행)
□ 공휴일/지역축제 공공데이터 API 연동 추천가 로직
□ [신규] 정산·가격 화면에 로딩/에러/빈상태 UI 적용
□ [신규] 공백일 미세조정+성수기 방치감지 배치로직(평일할인/주말·연휴인상, DB명세서 6절)
□ 추천가+근거 카드 UI, 승인클릭→Mock반영, 하한가 경고
□ [검증] ✅ 5단계 검증: 정산 3단계 파이프라인 + 알림센터 트리거 실데이터로 재현</t>
        </is>
      </c>
      <c r="D47" s="145" t="inlineStr">
        <is>
          <t>□ 예약임박도·잔여객실 반영(기존 iCal데이터 활용)</t>
        </is>
      </c>
      <c r="E47" s="146" t="inlineStr">
        <is>
          <t>🌙 연장근무일(+3h) · 검증일 — 개발 흡수 금지</t>
        </is>
      </c>
    </row>
    <row r="48" ht="63.75" customHeight="1" s="89">
      <c r="A48" s="147" t="inlineStr">
        <is>
          <t>2026-10-06(화)</t>
        </is>
      </c>
      <c r="B48" s="140" t="inlineStr">
        <is>
          <t>6단계</t>
        </is>
      </c>
      <c r="C48" s="144" t="inlineStr">
        <is>
          <t>-</t>
        </is>
      </c>
      <c r="D48" s="145" t="inlineStr">
        <is>
          <t>□ [신규] 발표 슬라이드 초안 작성(구성·화면 캡처·AI Agent Loop 다이어그램)
□ [신규] 제출용 설명문서 최종본 정리(9/3 기획서 확장판: 배경/주제/기술스택/아키텍처/사용법)</t>
        </is>
      </c>
      <c r="E48" s="148" t="n"/>
    </row>
    <row r="49" ht="48" customHeight="1" s="89">
      <c r="A49" s="143" t="inlineStr">
        <is>
          <t>2026-10-07(수)</t>
        </is>
      </c>
      <c r="B49" s="140" t="inlineStr">
        <is>
          <t>6단계</t>
        </is>
      </c>
      <c r="C49" s="149" t="inlineStr">
        <is>
          <t>-</t>
        </is>
      </c>
      <c r="D49" s="145" t="inlineStr">
        <is>
          <t>□ Clipchamp 10분 더미 영상 내보내기 테스트
□ 영상 대본/콘티 초안 작성(화면 흐름·나레이션 포인트 먼저 잡기, 최종 코드 완성 전에도 가능)</t>
        </is>
      </c>
      <c r="E49" s="146" t="inlineStr">
        <is>
          <t>🌙 연장근무일(+3h)</t>
        </is>
      </c>
    </row>
    <row r="50" ht="63.75" customHeight="1" s="89">
      <c r="A50" s="143" t="inlineStr">
        <is>
          <t>2026-10-08(목)</t>
        </is>
      </c>
      <c r="B50" s="140" t="inlineStr">
        <is>
          <t>5.5단계,6단계</t>
        </is>
      </c>
      <c r="C50" s="144" t="inlineStr">
        <is>
          <t>□ [신규] 전체 기능 회귀테스트(예약→청소→AI→정산→알림 전체 플로우 1회 통관)
□ [신규] 예외케이스 전수점검(중복예약/취소/환불/iCal실패/LLM실패/DB실패 에러UI 확인)
□ [신규] 보안점검: 비밀번호 해시 확인, .env/GitHub secret 노출여부 검색
□ [신규] Real/Mock UI 라벨 전수 확인(스마트락/가격반영/OTA메시징 '시뮬레이션' 표시)
□ GitHub 저장소 최종정리 + 프로덕션 배포 전환(스테이징→정식)+CORS 최종확인</t>
        </is>
      </c>
      <c r="D50" s="145" t="inlineStr">
        <is>
          <t>□ [신규] README.md 작성(소개/아키텍처/스택/설치법/환경변수/Demo계정/Real·Mock범위)</t>
        </is>
      </c>
      <c r="E50" s="146" t="n"/>
    </row>
    <row r="51">
      <c r="A51" s="88" t="inlineStr">
        <is>
          <t>2026-10-09(금)</t>
        </is>
      </c>
      <c r="B51" s="88" t="inlineStr">
        <is>
          <t>5.5단계,6단계</t>
        </is>
      </c>
      <c r="C51" s="88" t="inlineStr">
        <is>
          <t>□ [신규] 1920x1080 데스크톱+Chrome 기준 화면 확인
□ Mock/Real 표현 최종점검 + '숙소운영특화 AI Agent' 표현 일관성 점검
□ 발표 슬라이드 최종본 확정(AI Agent Loop 다이어그램 포함)
□ 영상 대본/콘티 최종본 확정(10/7 초안 기반, 실제 화면 캡처 반영)</t>
        </is>
      </c>
      <c r="D51" s="88" t="inlineStr">
        <is>
          <t>□ [야간] 화면 녹화 + 음성 나레이션 녹음</t>
        </is>
      </c>
      <c r="E51" s="88" t="inlineStr">
        <is>
          <t>🌙 연장근무일(+3h)</t>
        </is>
      </c>
    </row>
    <row r="52">
      <c r="A52" s="88" t="inlineStr">
        <is>
          <t>2026-10-10(토)</t>
        </is>
      </c>
      <c r="B52" s="88" t="inlineStr">
        <is>
          <t>6단계</t>
        </is>
      </c>
      <c r="C52" s="88" t="inlineStr">
        <is>
          <t>□ 아침 검토: 전날 녹화분 확인, 재촬영 필요분 파악
□ 최종 포맷/용량 확인 + 백업본 준비 + 최종 제출
□ [신규] ✅ 설명문서 + 소스코드(ZIP) PBT 제출(외부마감 10/10)
□ [신규] 소스코드 ZIP 생성(node_modules·.env·__pycache__ 제외 확인)</t>
        </is>
      </c>
      <c r="D52" s="88" t="inlineStr">
        <is>
          <t>□ [야간] 영상 편집(컷/자막/전환) + 렌더링</t>
        </is>
      </c>
    </row>
    <row r="53">
      <c r="A53" s="88" t="inlineStr">
        <is>
          <t>2026-10-11(일)</t>
        </is>
      </c>
      <c r="B53" s="88" t="inlineStr">
        <is>
          <t>6.5단계</t>
        </is>
      </c>
      <c r="C53" s="88" t="inlineStr">
        <is>
          <t>□ [신규] 데모 데이터 시드 재실행(DB 초기화+골든패스 데이터 재세팅)
□ [신규] E2E 데모 시나리오 리허설(로그인→대시보드→액션센터→예약확인→AI문의→승인→청소→정산 1회 실행)
□ [신규] 예상 Q&amp;A 답변 준비(iCal 선택이유/DB전환이유/AI Agent vs 챗봇 차이 등)
□ [검증] ✅ 6.5단계 검증: 배포본 재생·서버 웨이크업·발표 최종 리허설
□ 발표영상 실제 재생 확인(음성·화면 끝까지 끊김없이 재생되는지)
□ [신규] ✅ 발표자료(PPT) PBT 제출(외부마감 10/11)</t>
        </is>
      </c>
      <c r="D53" s="88" t="inlineStr">
        <is>
          <t>-</t>
        </is>
      </c>
    </row>
  </sheetData>
  <mergeCells count="2">
    <mergeCell ref="A1:C1"/>
    <mergeCell ref="A15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88" min="1" max="1"/>
    <col width="8" customWidth="1" style="88" min="2" max="2"/>
    <col width="11" customWidth="1" style="88" min="3" max="3"/>
    <col width="16" customWidth="1" style="88" min="4" max="4"/>
    <col width="40" customWidth="1" style="88" min="5" max="5"/>
    <col width="14" customWidth="1" style="88" min="6" max="6"/>
    <col width="34" customWidth="1" style="88" min="7" max="9"/>
    <col width="32" customWidth="1" style="88" min="10" max="10"/>
  </cols>
  <sheetData>
    <row r="1" ht="23.85" customHeight="1" s="89">
      <c r="A1" s="95" t="inlineStr">
        <is>
          <t>3rd Host AI — 일자별 실행리스트 (구분·파일위치·핵심포인트·주의점·확인방법)</t>
        </is>
      </c>
    </row>
    <row r="3" ht="17.15" customHeight="1" s="89">
      <c r="A3" s="91" t="inlineStr">
        <is>
          <t>날짜(요일)</t>
        </is>
      </c>
      <c r="B3" s="91" t="inlineStr">
        <is>
          <t>단계</t>
        </is>
      </c>
      <c r="C3" s="91" t="inlineStr">
        <is>
          <t>구분</t>
        </is>
      </c>
      <c r="D3" s="91" t="inlineStr">
        <is>
          <t>카테고리</t>
        </is>
      </c>
      <c r="E3" s="91" t="inlineStr">
        <is>
          <t>세부 작업</t>
        </is>
      </c>
      <c r="F3" s="91" t="inlineStr">
        <is>
          <t>담당/활용도구</t>
        </is>
      </c>
      <c r="G3" s="91" t="inlineStr">
        <is>
          <t>파일 위치</t>
        </is>
      </c>
      <c r="H3" s="91" t="inlineStr">
        <is>
          <t>가장 중요한 포인트</t>
        </is>
      </c>
      <c r="I3" s="91" t="inlineStr">
        <is>
          <t>주의할 점</t>
        </is>
      </c>
      <c r="J3" s="91" t="inlineStr">
        <is>
          <t>완벽 확인방법</t>
        </is>
      </c>
    </row>
    <row r="4" ht="39.75" customHeight="1" s="89">
      <c r="A4" s="151" t="inlineStr">
        <is>
          <t>2026-08-31(월)</t>
        </is>
      </c>
      <c r="B4" s="151" t="inlineStr">
        <is>
          <t>1단계</t>
        </is>
      </c>
      <c r="C4" s="152" t="inlineStr">
        <is>
          <t>문서확인</t>
        </is>
      </c>
      <c r="D4" s="153" t="inlineStr">
        <is>
          <t>데이터모델 설계(P0)</t>
        </is>
      </c>
      <c r="E4" s="154" t="inlineStr">
        <is>
          <t>Host-Property-Room-Bed 계층 스키마 확정(모두 optional)</t>
        </is>
      </c>
      <c r="F4" s="155" t="inlineStr">
        <is>
          <t>본인 — Gemini(검토·콘텐츠보조)</t>
        </is>
      </c>
      <c r="G4" s="154" t="inlineStr">
        <is>
          <t>docs/3rd_host_ai_db_spec_v1.md (2.1~2.4절)</t>
        </is>
      </c>
      <c r="H4" s="153" t="inlineStr">
        <is>
          <t>독채(3룸통대여)와 호스텔(개별실판매)을 하나의 구조로 동시 표현하는 것이 핵심 차별화</t>
        </is>
      </c>
      <c r="I4" s="154" t="inlineStr">
        <is>
          <t>Room/Bed를 모두 optional로 둬야 함 — 강제로 NOT NULL 만들면 독채 예약 자체를 표현 못함</t>
        </is>
      </c>
      <c r="J4" s="154" t="inlineStr">
        <is>
          <t>3룸숙소=Property단위, 호스텔=Room단위 두 시나리오 모두 예약 생성이 가능한지 확인</t>
        </is>
      </c>
    </row>
    <row r="5" ht="39.75" customHeight="1" s="89">
      <c r="A5" s="151" t="inlineStr">
        <is>
          <t>2026-08-31(월)</t>
        </is>
      </c>
      <c r="B5" s="151" t="inlineStr">
        <is>
          <t>1단계</t>
        </is>
      </c>
      <c r="C5" s="152" t="inlineStr">
        <is>
          <t>문서확인</t>
        </is>
      </c>
      <c r="D5" s="153" t="inlineStr">
        <is>
          <t>데이터모델 설계(P0)</t>
        </is>
      </c>
      <c r="E5" s="154" t="inlineStr">
        <is>
          <t>STEP0: DB명세서v1(3rd_host_ai_db_spec_v1.md)을 스키마 최종권위 문서로 확정 + 구버전 ERD(guests/payments 등 포함 폐기 초안) 폐기처리</t>
        </is>
      </c>
      <c r="F5" s="155" t="inlineStr">
        <is>
          <t>본인 — Claude(대화보조)</t>
        </is>
      </c>
      <c r="G5" s="154" t="inlineStr">
        <is>
          <t>docs/3rd_host_ai_db_spec_v1.md (전체)</t>
        </is>
      </c>
      <c r="H5" s="154" t="inlineStr">
        <is>
          <t>DB명세서에 이미 결정된 내용을 그대로 반영하는 단계 — 새로 고민하지 않는다</t>
        </is>
      </c>
      <c r="I5" s="153" t="inlineStr">
        <is>
          <t>임의로 필드나 값을 추가하지 않는다(범위확장 방지 원칙)</t>
        </is>
      </c>
      <c r="J5" s="154" t="inlineStr">
        <is>
          <t>DB명세서 해당 섹션과 실제 반영내용을 나란히 놓고 비교</t>
        </is>
      </c>
    </row>
    <row r="6" ht="39.75" customHeight="1" s="89">
      <c r="A6" s="151" t="inlineStr">
        <is>
          <t>2026-08-31(월)</t>
        </is>
      </c>
      <c r="B6" s="151" t="inlineStr">
        <is>
          <t>1단계</t>
        </is>
      </c>
      <c r="C6" s="152" t="inlineStr">
        <is>
          <t>문서확인</t>
        </is>
      </c>
      <c r="D6" s="153" t="inlineStr">
        <is>
          <t>데이터모델 설계(P0)</t>
        </is>
      </c>
      <c r="E6" s="154" t="inlineStr">
        <is>
          <t>Property.accommodation_type 단일 ENUM 필드 확정</t>
        </is>
      </c>
      <c r="F6" s="155" t="inlineStr">
        <is>
          <t>본인 — Gemini(검토·콘텐츠보조)</t>
        </is>
      </c>
      <c r="G6" s="154" t="inlineStr">
        <is>
          <t>docs/3rd_host_ai_db_spec_v1.md (1. ENUM 타입 정의)</t>
        </is>
      </c>
      <c r="H6" s="153" t="inlineStr">
        <is>
          <t>단일 ENUM(한 공간에 복수 숙박업 유형 등록은 법적으로 불가능하다고 확인됨)</t>
        </is>
      </c>
      <c r="I6" s="154" t="inlineStr">
        <is>
          <t>6개 값 정확히(URBAN_HOMESTAY,RURAL_HOMESTAY,HANOK,HOSTEL,LODGING_FACILITY,GENERAL_LODGING) — PENSION/OTHER/HANOK_STAY 같은 임의값 절대 금지</t>
        </is>
      </c>
      <c r="J6" s="154" t="inlineStr">
        <is>
          <t>DB명세서 1절 ENUM 정의와 실제 반영값을 한 글자씩 diff 비교</t>
        </is>
      </c>
    </row>
    <row r="7" ht="39.75" customHeight="1" s="89">
      <c r="A7" s="151" t="inlineStr">
        <is>
          <t>2026-09-01(화)</t>
        </is>
      </c>
      <c r="B7" s="151" t="inlineStr">
        <is>
          <t>1단계</t>
        </is>
      </c>
      <c r="C7" s="152" t="inlineStr">
        <is>
          <t>문서확인</t>
        </is>
      </c>
      <c r="D7" s="153" t="inlineStr">
        <is>
          <t>데이터모델 설계(P0)</t>
        </is>
      </c>
      <c r="E7" s="154" t="inlineStr">
        <is>
          <t>Reservation.bookable_unit_type(PROPERTY/ROOM/BED) 설계</t>
        </is>
      </c>
      <c r="F7" s="155" t="inlineStr">
        <is>
          <t>본인 — Gemini(검토·콘텐츠보조)</t>
        </is>
      </c>
      <c r="G7" s="154" t="inlineStr">
        <is>
          <t>docs/3rd_host_ai_db_spec_v1.md (2.2 PROPERTIES / 2.6 RESERVATIONS)</t>
        </is>
      </c>
      <c r="H7" s="154" t="inlineStr">
        <is>
          <t>PROPERTY/ROOM/BED 3종 판매단위를 하나의 Reservation 테이블로 표현</t>
        </is>
      </c>
      <c r="I7" s="153" t="inlineStr">
        <is>
          <t>이 값과 room_id/bed_id 실사용 일치여부는 DB CHECK로 못 잡음(다른 테이블이라 PostgreSQL 일반 CHECK 불가) — 반드시 애플리케이션 검증 필요</t>
        </is>
      </c>
      <c r="J7" s="154" t="inlineStr">
        <is>
          <t>bookable_unit_type=PROPERTY인데 room_id가 채워진 예약을 일부러 넣어보고 애플리케이션이 막는지 테스트</t>
        </is>
      </c>
    </row>
    <row r="8" ht="39.75" customHeight="1" s="89">
      <c r="A8" s="151" t="inlineStr">
        <is>
          <t>2026-09-01(화)</t>
        </is>
      </c>
      <c r="B8" s="151" t="inlineStr">
        <is>
          <t>1단계</t>
        </is>
      </c>
      <c r="C8" s="152" t="inlineStr">
        <is>
          <t>문서확인</t>
        </is>
      </c>
      <c r="D8" s="153" t="inlineStr">
        <is>
          <t>데이터모델 설계(P0)</t>
        </is>
      </c>
      <c r="E8" s="154" t="inlineStr">
        <is>
          <t>PROPERTY 단위 예약시 하위 Room 전체 블록 인터셉터 로직 정의(본인 3룸숙소 실제케이스)</t>
        </is>
      </c>
      <c r="F8" s="155" t="inlineStr">
        <is>
          <t>본인 — Gemini(검토·콘텐츠보조)</t>
        </is>
      </c>
      <c r="G8" s="154" t="inlineStr">
        <is>
          <t>docs/3rd_host_ai_db_spec_v1.md (2.6.1 예약 겹침 방지)</t>
        </is>
      </c>
      <c r="H8" s="153" t="inlineStr">
        <is>
          <t>본인 3룸숙소의 실제 운영형태(통대여)를 반영하는 핵심 로직</t>
        </is>
      </c>
      <c r="I8" s="154" t="inlineStr">
        <is>
          <t>EXCLUDE 제약만으로는 PROPERTY예약↔ROOM/BED예약 교차충돌을 못 막음 — 반드시 트랜잭션 검증 코드로 방어</t>
        </is>
      </c>
      <c r="J8" s="154" t="inlineStr">
        <is>
          <t>3룸 전체예약 확정 후 그 중 방 1개만 별도 예약 시도 → 반드시 차단되는지 확인</t>
        </is>
      </c>
    </row>
    <row r="9" ht="39.75" customHeight="1" s="89">
      <c r="A9" s="151" t="inlineStr">
        <is>
          <t>2026-09-01(화)</t>
        </is>
      </c>
      <c r="B9" s="151" t="inlineStr">
        <is>
          <t>1단계</t>
        </is>
      </c>
      <c r="C9" s="152" t="inlineStr">
        <is>
          <t>문서확인</t>
        </is>
      </c>
      <c r="D9" s="153" t="inlineStr">
        <is>
          <t>데이터모델 설계(P0)</t>
        </is>
      </c>
      <c r="E9" s="154" t="inlineStr">
        <is>
          <t>reservation_status / refund_status 분리 설계</t>
        </is>
      </c>
      <c r="F9" s="155" t="inlineStr">
        <is>
          <t>본인 — Gemini(검토·콘텐츠보조)</t>
        </is>
      </c>
      <c r="G9" s="154" t="inlineStr">
        <is>
          <t>docs/3rd_host_ai_db_spec_v1.md (2.6 RESERVATIONS 컬럼)</t>
        </is>
      </c>
      <c r="H9" s="154" t="inlineStr">
        <is>
          <t>'투숙완료(COMPLETED)'와 '부분환불(PARTIAL)'을 동시에 표현할 수 있어야 함</t>
        </is>
      </c>
      <c r="I9" s="153" t="inlineStr">
        <is>
          <t>하나의 status 컬럼으로 합치면 이 조합 자체를 표현할 수 없음</t>
        </is>
      </c>
      <c r="J9" s="154" t="inlineStr">
        <is>
          <t>COMPLETED+PARTIAL 조합을 실제로 저장해보고 정상 저장되는지 확인</t>
        </is>
      </c>
    </row>
    <row r="10" ht="39.75" customHeight="1" s="89">
      <c r="A10" s="151" t="inlineStr">
        <is>
          <t>2026-09-01(화)</t>
        </is>
      </c>
      <c r="B10" s="151" t="inlineStr">
        <is>
          <t>1단계</t>
        </is>
      </c>
      <c r="C10" s="152" t="inlineStr">
        <is>
          <t>문서확인</t>
        </is>
      </c>
      <c r="D10" s="153" t="inlineStr">
        <is>
          <t>데이터모델 설계(P0)</t>
        </is>
      </c>
      <c r="E10" s="154" t="inlineStr">
        <is>
          <t>Reservation CHECK 제약(bookable_unit_type↔room_id/bed_id 조합) 확정</t>
        </is>
      </c>
      <c r="F10" s="155" t="inlineStr">
        <is>
          <t>본인 — Claude(대화보조)</t>
        </is>
      </c>
      <c r="G10" s="154" t="inlineStr">
        <is>
          <t>docs/3rd_host_ai_db_spec_v1.md (2.2 PROPERTIES / 2.6 RESERVATIONS)</t>
        </is>
      </c>
      <c r="H10" s="154" t="inlineStr">
        <is>
          <t>room_id/bed_id 조합의 '내부 형태'만 DB가 검증 가능</t>
        </is>
      </c>
      <c r="I10" s="154" t="inlineStr">
        <is>
          <t>PostgreSQL CHECK는 다른 테이블(PROPERTIES) 값을 볼 수 없음 — bookable_unit_type과의 교차일치는 앱 책임임을 반드시 인지</t>
        </is>
      </c>
      <c r="J10" s="153" t="inlineStr">
        <is>
          <t>유효하지 않은 조합(bed_id만 있고 room_id는 NULL 등) INSERT 시도 → DB가 거부하는지</t>
        </is>
      </c>
    </row>
    <row r="11" ht="39.75" customHeight="1" s="89">
      <c r="A11" s="151" t="inlineStr">
        <is>
          <t>2026-09-01(화)</t>
        </is>
      </c>
      <c r="B11" s="151" t="inlineStr">
        <is>
          <t>1단계</t>
        </is>
      </c>
      <c r="C11" s="152" t="inlineStr">
        <is>
          <t>문서확인</t>
        </is>
      </c>
      <c r="D11" s="153" t="inlineStr">
        <is>
          <t>데이터모델 설계(P0)</t>
        </is>
      </c>
      <c r="E11" s="154" t="inlineStr">
        <is>
          <t>ROOMS/BEDS 계층 복합FK+UNIQUE + Reservation↔Channel/Room/Bed 동일Property 보장(통합확정)</t>
        </is>
      </c>
      <c r="F11" s="155" t="inlineStr">
        <is>
          <t>본인 — Claude(대화보조)</t>
        </is>
      </c>
      <c r="G11" s="154" t="inlineStr">
        <is>
          <t>docs/3rd_host_ai_db_spec_v1.md (2.3 ROOMS / 2.4 BEDS / 2.6 RESERVATIONS (A))</t>
        </is>
      </c>
      <c r="H11" s="153" t="inlineStr">
        <is>
          <t>다른 숙소 소속 Room을 잘못 참조하는 데이터오염을 DB가 원천 차단</t>
        </is>
      </c>
      <c r="I11" s="154" t="inlineStr">
        <is>
          <t>UNIQUE(room_id,property_id)는 중복방지용이 아니라 복합FK 참조용 후보키 — room_name/bed_label UNIQUE가 실제 중복방지 역할</t>
        </is>
      </c>
      <c r="J11" s="154" t="inlineStr">
        <is>
          <t>Property A 소속 room_id를 Property B의 예약에 넣어보고 FK 위반으로 거부되는지 확인</t>
        </is>
      </c>
    </row>
    <row r="12" ht="39.75" customHeight="1" s="89">
      <c r="A12" s="151" t="inlineStr">
        <is>
          <t>2026-09-01(화)</t>
        </is>
      </c>
      <c r="B12" s="151" t="inlineStr">
        <is>
          <t>1단계</t>
        </is>
      </c>
      <c r="C12" s="152" t="inlineStr">
        <is>
          <t>문서확인</t>
        </is>
      </c>
      <c r="D12" s="153" t="inlineStr">
        <is>
          <t>데이터모델 설계(P0)</t>
        </is>
      </c>
      <c r="E12" s="154" t="inlineStr">
        <is>
          <t>UNIQUE 복합제약 3종 확정(channel_connection_id+external_uid / property_id+target_month / property_id+channel)</t>
        </is>
      </c>
      <c r="F12" s="155" t="inlineStr">
        <is>
          <t>본인 — Gemini(검토·콘텐츠보조)</t>
        </is>
      </c>
      <c r="G12" s="154" t="inlineStr">
        <is>
          <t>docs/3rd_host_ai_db_spec_v1.md (2.5 / 2.6 / 2.8절)</t>
        </is>
      </c>
      <c r="H12" s="153" t="inlineStr">
        <is>
          <t>플랫폼별 예약UID/월별정산/채널연결 각각 중복 방지</t>
        </is>
      </c>
      <c r="I12" s="153" t="inlineStr">
        <is>
          <t>채널당 연결 1개 제한은 이번 MVP 한정 — 향후 여러 리스팅 대응은 2차 과제</t>
        </is>
      </c>
      <c r="J12" s="153" t="inlineStr">
        <is>
          <t>같은 property+channel 조합을 2번 생성 시도했을 때 에러가 나는지 확인</t>
        </is>
      </c>
    </row>
    <row r="13" ht="39.75" customHeight="1" s="89">
      <c r="A13" s="151" t="inlineStr">
        <is>
          <t>2026-09-01(화)</t>
        </is>
      </c>
      <c r="B13" s="151" t="inlineStr">
        <is>
          <t>1단계</t>
        </is>
      </c>
      <c r="C13" s="152" t="inlineStr">
        <is>
          <t>문서확인</t>
        </is>
      </c>
      <c r="D13" s="153" t="inlineStr">
        <is>
          <t>데이터모델 설계(P0)</t>
        </is>
      </c>
      <c r="E13" s="154" t="inlineStr">
        <is>
          <t>INQUIRY_RESPONSES 1:N + is_latest 플래그 설계 확정</t>
        </is>
      </c>
      <c r="F13" s="155" t="inlineStr">
        <is>
          <t>본인 — Gemini(검토·콘텐츠보조)</t>
        </is>
      </c>
      <c r="G13" s="154" t="inlineStr">
        <is>
          <t>docs/3rd_host_ai_db_spec_v1.md (2.12 INQUIRY_RESPONSES)</t>
        </is>
      </c>
      <c r="H13" s="153" t="inlineStr">
        <is>
          <t>재시도/재답변 이력을 보존하는 1:N + is_latest 구조</t>
        </is>
      </c>
      <c r="I13" s="153" t="inlineStr">
        <is>
          <t>새 응답을 만들 때 기존 is_latest를 먼저 false로 바꾸는 걸 빠뜨리면 부분UNIQUE 인덱스 위반 에러 발생</t>
        </is>
      </c>
      <c r="J13" s="153" t="inlineStr">
        <is>
          <t>같은 문의에 응답 2번 생성 후 is_latest=true인 행이 정확히 1개인지 쿼리로 확인</t>
        </is>
      </c>
    </row>
    <row r="14" ht="39.75" customHeight="1" s="89">
      <c r="A14" s="151" t="inlineStr">
        <is>
          <t>2026-09-01(화)</t>
        </is>
      </c>
      <c r="B14" s="151" t="inlineStr">
        <is>
          <t>1단계</t>
        </is>
      </c>
      <c r="C14" s="152" t="inlineStr">
        <is>
          <t>문서확인</t>
        </is>
      </c>
      <c r="D14" s="153" t="inlineStr">
        <is>
          <t>데이터모델 설계(P0)</t>
        </is>
      </c>
      <c r="E14" s="154" t="inlineStr">
        <is>
          <t>FINANCIAL_CONFIGS→MONTHLY_SETTLEMENTS 관계 제거(스냅샷 분리) 확정</t>
        </is>
      </c>
      <c r="F14" s="155" t="inlineStr">
        <is>
          <t>본인 — Gemini(검토·콘텐츠보조)</t>
        </is>
      </c>
      <c r="G14" s="154" t="inlineStr">
        <is>
          <t>docs/3rd_host_ai_db_spec_v1.md (2.7 FINANCIAL_CONFIGS / 2.8 MONTHLY_SETTLEMENTS)</t>
        </is>
      </c>
      <c r="H14" s="153" t="inlineStr">
        <is>
          <t>정산은 스냅샷 — 수수료율이 나중에 바뀌어도 과거 정산결과는 불변이어야 함</t>
        </is>
      </c>
      <c r="I14" s="154" t="inlineStr">
        <is>
          <t>FINANCIAL_CONFIGS와 직접 FK로 연결하면 안 됨. applied_commission_rate 컬럼에 계산 당시 값을 별도로 저장</t>
        </is>
      </c>
      <c r="J14" s="153" t="inlineStr">
        <is>
          <t>수수료율을 0.155→0.16으로 바꾼 뒤, 과거 정산행의 applied_commission_rate가 여전히 0.155인지 확인</t>
        </is>
      </c>
    </row>
    <row r="15" ht="39.75" customHeight="1" s="89">
      <c r="A15" s="151" t="inlineStr">
        <is>
          <t>2026-09-01(화)</t>
        </is>
      </c>
      <c r="B15" s="151" t="inlineStr">
        <is>
          <t>1단계</t>
        </is>
      </c>
      <c r="C15" s="156" t="inlineStr">
        <is>
          <t>신규작성</t>
        </is>
      </c>
      <c r="D15" s="153" t="inlineStr">
        <is>
          <t>데이터모델 설계(P0)</t>
        </is>
      </c>
      <c r="E15" s="153" t="inlineStr">
        <is>
          <t>제출용 기획서 초안 작성(주제/선정이유/일정표/기술스택 — 기존 대화내용 취합)</t>
        </is>
      </c>
      <c r="F15" s="155" t="inlineStr">
        <is>
          <t>본인 — Gemini(검토·콘텐츠보조)</t>
        </is>
      </c>
      <c r="G15" s="154" t="inlineStr">
        <is>
          <t>docs/project_plan_draft.md (신규생성)</t>
        </is>
      </c>
      <c r="H15" s="154" t="inlineStr">
        <is>
          <t>DB명세서에 이미 결정된 내용을 그대로 반영하는 단계 — 새로 고민하지 않는다</t>
        </is>
      </c>
      <c r="I15" s="153" t="inlineStr">
        <is>
          <t>임의로 필드나 값을 추가하지 않는다(범위확장 방지 원칙)</t>
        </is>
      </c>
      <c r="J15" s="154" t="inlineStr">
        <is>
          <t>DB명세서 해당 섹션과 실제 반영내용을 나란히 놓고 비교</t>
        </is>
      </c>
    </row>
    <row r="16" ht="39.75" customHeight="1" s="89">
      <c r="A16" s="151" t="inlineStr">
        <is>
          <t>2026-09-02(수)</t>
        </is>
      </c>
      <c r="B16" s="151" t="inlineStr">
        <is>
          <t>1단계</t>
        </is>
      </c>
      <c r="C16" s="152" t="inlineStr">
        <is>
          <t>문서확인</t>
        </is>
      </c>
      <c r="D16" s="153" t="inlineStr">
        <is>
          <t>데이터모델 설계(P0)</t>
        </is>
      </c>
      <c r="E16" s="154" t="inlineStr">
        <is>
          <t>financial_status(ESTIMATED/CONFIRMED/MANUALLY_ADJUSTED) 필드 설계</t>
        </is>
      </c>
      <c r="F16" s="155" t="inlineStr">
        <is>
          <t>본인 — Gemini(검토·콘텐츠보조)</t>
        </is>
      </c>
      <c r="G16" s="154" t="inlineStr">
        <is>
          <t>docs/3rd_host_ai_db_spec_v1.md (2.6 RESERVATIONS 컬럼)</t>
        </is>
      </c>
      <c r="H16" s="154" t="inlineStr">
        <is>
          <t>DB명세서에 이미 결정된 내용을 그대로 반영하는 단계 — 새로 고민하지 않는다</t>
        </is>
      </c>
      <c r="I16" s="153" t="inlineStr">
        <is>
          <t>임의로 필드나 값을 추가하지 않는다(범위확장 방지 원칙)</t>
        </is>
      </c>
      <c r="J16" s="154" t="inlineStr">
        <is>
          <t>DB명세서 해당 섹션과 실제 반영내용을 나란히 놓고 비교</t>
        </is>
      </c>
    </row>
    <row r="17" ht="39.75" customHeight="1" s="89">
      <c r="A17" s="151" t="inlineStr">
        <is>
          <t>2026-09-02(수)</t>
        </is>
      </c>
      <c r="B17" s="151" t="inlineStr">
        <is>
          <t>1단계</t>
        </is>
      </c>
      <c r="C17" s="152" t="inlineStr">
        <is>
          <t>문서확인</t>
        </is>
      </c>
      <c r="D17" s="153" t="inlineStr">
        <is>
          <t>데이터모델 설계(P0)</t>
        </is>
      </c>
      <c r="E17" s="153" t="inlineStr">
        <is>
          <t>날짜 5종 분리 확정(booked_at/check_in/check_out/expected_settlement_at/actual_settlement_at)</t>
        </is>
      </c>
      <c r="F17" s="155" t="inlineStr">
        <is>
          <t>본인 — Gemini(검토·콘텐츠보조)</t>
        </is>
      </c>
      <c r="G17" s="154" t="inlineStr">
        <is>
          <t>docs/3rd_host_ai_db_spec_v1.md (2.6 RESERVATIONS 컬럼)</t>
        </is>
      </c>
      <c r="H17" s="154" t="inlineStr">
        <is>
          <t>DB명세서에 이미 결정된 내용을 그대로 반영하는 단계 — 새로 고민하지 않는다</t>
        </is>
      </c>
      <c r="I17" s="153" t="inlineStr">
        <is>
          <t>임의로 필드나 값을 추가하지 않는다(범위확장 방지 원칙)</t>
        </is>
      </c>
      <c r="J17" s="154" t="inlineStr">
        <is>
          <t>DB명세서 해당 섹션과 실제 반영내용을 나란히 놓고 비교</t>
        </is>
      </c>
    </row>
    <row r="18" ht="39.75" customHeight="1" s="89">
      <c r="A18" s="151" t="inlineStr">
        <is>
          <t>2026-09-02(수)</t>
        </is>
      </c>
      <c r="B18" s="151" t="inlineStr">
        <is>
          <t>1단계</t>
        </is>
      </c>
      <c r="C18" s="152" t="inlineStr">
        <is>
          <t>문서확인</t>
        </is>
      </c>
      <c r="D18" s="153" t="inlineStr">
        <is>
          <t>데이터모델 설계(P0)</t>
        </is>
      </c>
      <c r="E18" s="154" t="inlineStr">
        <is>
          <t>ChannelConnection 모델 설계(channel/external_property_id/sync_status/last_synced_at)</t>
        </is>
      </c>
      <c r="F18" s="155" t="inlineStr">
        <is>
          <t>본인 — Gemini(검토·콘텐츠보조)</t>
        </is>
      </c>
      <c r="G18" s="154" t="inlineStr">
        <is>
          <t>docs/3rd_host_ai_db_spec_v1.md (2.6 RESERVATIONS 컬럼)</t>
        </is>
      </c>
      <c r="H18" s="154" t="inlineStr">
        <is>
          <t>DB명세서에 이미 결정된 내용을 그대로 반영하는 단계 — 새로 고민하지 않는다</t>
        </is>
      </c>
      <c r="I18" s="153" t="inlineStr">
        <is>
          <t>임의로 필드나 값을 추가하지 않는다(범위확장 방지 원칙)</t>
        </is>
      </c>
      <c r="J18" s="154" t="inlineStr">
        <is>
          <t>DB명세서 해당 섹션과 실제 반영내용을 나란히 놓고 비교</t>
        </is>
      </c>
    </row>
    <row r="19" ht="39.75" customHeight="1" s="89">
      <c r="A19" s="151" t="inlineStr">
        <is>
          <t>2026-09-02(수)</t>
        </is>
      </c>
      <c r="B19" s="151" t="inlineStr">
        <is>
          <t>1단계</t>
        </is>
      </c>
      <c r="C19" s="152" t="inlineStr">
        <is>
          <t>문서확인</t>
        </is>
      </c>
      <c r="D19" s="153" t="inlineStr">
        <is>
          <t>데이터모델 설계(P0)</t>
        </is>
      </c>
      <c r="E19" s="154" t="inlineStr">
        <is>
          <t>ChecklistTemplate.renewal_trigger_type(NONE/EXPIRATION_BASED/EVENT_BASED) 필드 추가</t>
        </is>
      </c>
      <c r="F19" s="155" t="inlineStr">
        <is>
          <t>본인 — Gemini(검토·콘텐츠보조)</t>
        </is>
      </c>
      <c r="G19" s="154" t="inlineStr">
        <is>
          <t>docs/3rd_host_ai_db_spec_v1.md (2.16 CHECKLIST_ITEMS)</t>
        </is>
      </c>
      <c r="H19" s="154" t="inlineStr">
        <is>
          <t>DB명세서에 이미 결정된 내용을 그대로 반영하는 단계 — 새로 고민하지 않는다</t>
        </is>
      </c>
      <c r="I19" s="153" t="inlineStr">
        <is>
          <t>임의로 필드나 값을 추가하지 않는다(범위확장 방지 원칙)</t>
        </is>
      </c>
      <c r="J19" s="154" t="inlineStr">
        <is>
          <t>DB명세서 해당 섹션과 실제 반영내용을 나란히 놓고 비교</t>
        </is>
      </c>
    </row>
    <row r="20" ht="39.75" customHeight="1" s="89">
      <c r="A20" s="151" t="inlineStr">
        <is>
          <t>2026-09-02(수)</t>
        </is>
      </c>
      <c r="B20" s="151" t="inlineStr">
        <is>
          <t>1단계</t>
        </is>
      </c>
      <c r="C20" s="152" t="inlineStr">
        <is>
          <t>문서확인</t>
        </is>
      </c>
      <c r="D20" s="153" t="inlineStr">
        <is>
          <t>데이터모델 설계(P0)</t>
        </is>
      </c>
      <c r="E20" s="154" t="inlineStr">
        <is>
          <t>Property 단위 데이터 격리 원칙 확정(KB/Reservation/Checklist/SmartLock 전체)</t>
        </is>
      </c>
      <c r="F20" s="155" t="inlineStr">
        <is>
          <t>본인 — Claude(대화보조)</t>
        </is>
      </c>
      <c r="G20" s="154" t="inlineStr">
        <is>
          <t>docs/3rd_host_ai_db_spec_v1.md (4.0절 DB보장/앱보장 구분)</t>
        </is>
      </c>
      <c r="H20" s="154" t="inlineStr">
        <is>
          <t>DB명세서에 이미 결정된 내용을 그대로 반영하는 단계 — 새로 고민하지 않는다</t>
        </is>
      </c>
      <c r="I20" s="153" t="inlineStr">
        <is>
          <t>임의로 필드나 값을 추가하지 않는다(범위확장 방지 원칙)</t>
        </is>
      </c>
      <c r="J20" s="154" t="inlineStr">
        <is>
          <t>DB명세서 해당 섹션과 실제 반영내용을 나란히 놓고 비교</t>
        </is>
      </c>
    </row>
    <row r="21" ht="39.75" customHeight="1" s="89">
      <c r="A21" s="151" t="inlineStr">
        <is>
          <t>2026-09-02(수)</t>
        </is>
      </c>
      <c r="B21" s="151" t="inlineStr">
        <is>
          <t>1단계</t>
        </is>
      </c>
      <c r="C21" s="152" t="inlineStr">
        <is>
          <t>문서확인</t>
        </is>
      </c>
      <c r="D21" s="153" t="inlineStr">
        <is>
          <t>데이터모델 설계(P0)</t>
        </is>
      </c>
      <c r="E21" s="154" t="inlineStr">
        <is>
          <t>ACTION_ITEMS 중복생성 idempotency 정책 문서화(동일 reservation_id+category+OPEN 재사용)</t>
        </is>
      </c>
      <c r="F21" s="155" t="inlineStr">
        <is>
          <t>본인 — Gemini(검토·콘텐츠보조)</t>
        </is>
      </c>
      <c r="G21" s="154" t="inlineStr">
        <is>
          <t>docs/3rd_host_ai_db_spec_v1.md (해당 섹션)</t>
        </is>
      </c>
      <c r="H21" s="154" t="inlineStr">
        <is>
          <t>DB명세서에 이미 결정된 내용을 그대로 반영하는 단계 — 새로 고민하지 않는다</t>
        </is>
      </c>
      <c r="I21" s="153" t="inlineStr">
        <is>
          <t>임의로 필드나 값을 추가하지 않는다(범위확장 방지 원칙)</t>
        </is>
      </c>
      <c r="J21" s="154" t="inlineStr">
        <is>
          <t>DB명세서 해당 섹션과 실제 반영내용을 나란히 놓고 비교</t>
        </is>
      </c>
    </row>
    <row r="22" ht="39.75" customHeight="1" s="89">
      <c r="A22" s="151" t="inlineStr">
        <is>
          <t>2026-09-02(수)</t>
        </is>
      </c>
      <c r="B22" s="151" t="inlineStr">
        <is>
          <t>1단계</t>
        </is>
      </c>
      <c r="C22" s="152" t="inlineStr">
        <is>
          <t>문서확인</t>
        </is>
      </c>
      <c r="D22" s="153" t="inlineStr">
        <is>
          <t>데이터모델 설계(P0)</t>
        </is>
      </c>
      <c r="E22" s="154" t="inlineStr">
        <is>
          <t>risk_level '규칙기반 우선순위'로 문서화(법적판단 아님 명시)</t>
        </is>
      </c>
      <c r="F22" s="155" t="inlineStr">
        <is>
          <t>본인 — Gemini(검토·콘텐츠보조)</t>
        </is>
      </c>
      <c r="G22" s="154" t="inlineStr">
        <is>
          <t>docs/3rd_host_ai_db_spec_v1.md (해당 섹션)</t>
        </is>
      </c>
      <c r="H22" s="154" t="inlineStr">
        <is>
          <t>DB명세서에 이미 결정된 내용을 그대로 반영하는 단계 — 새로 고민하지 않는다</t>
        </is>
      </c>
      <c r="I22" s="153" t="inlineStr">
        <is>
          <t>임의로 필드나 값을 추가하지 않는다(범위확장 방지 원칙)</t>
        </is>
      </c>
      <c r="J22" s="154" t="inlineStr">
        <is>
          <t>DB명세서 해당 섹션과 실제 반영내용을 나란히 놓고 비교</t>
        </is>
      </c>
    </row>
    <row r="23" ht="39.75" customHeight="1" s="89">
      <c r="A23" s="151" t="inlineStr">
        <is>
          <t>2026-09-02(수)</t>
        </is>
      </c>
      <c r="B23" s="151" t="inlineStr">
        <is>
          <t>1단계</t>
        </is>
      </c>
      <c r="C23" s="152" t="inlineStr">
        <is>
          <t>문서확인</t>
        </is>
      </c>
      <c r="D23" s="153" t="inlineStr">
        <is>
          <t>데이터모델 설계(P0)</t>
        </is>
      </c>
      <c r="E23" s="153" t="inlineStr">
        <is>
          <t>인덱스 요구사항 목록화(property_id 계열 전체+ActionCenter 복합인덱스, 실제생성은 9/5)</t>
        </is>
      </c>
      <c r="F23" s="155" t="inlineStr">
        <is>
          <t>본인 — Gemini(검토·콘텐츠보조)</t>
        </is>
      </c>
      <c r="G23" s="154" t="inlineStr">
        <is>
          <t>docs/3rd_host_ai_db_spec_v1.md (해당 섹션)</t>
        </is>
      </c>
      <c r="H23" s="154" t="inlineStr">
        <is>
          <t>DB명세서에 이미 결정된 내용을 그대로 반영하는 단계 — 새로 고민하지 않는다</t>
        </is>
      </c>
      <c r="I23" s="153" t="inlineStr">
        <is>
          <t>임의로 필드나 값을 추가하지 않는다(범위확장 방지 원칙)</t>
        </is>
      </c>
      <c r="J23" s="154" t="inlineStr">
        <is>
          <t>DB명세서 해당 섹션과 실제 반영내용을 나란히 놓고 비교</t>
        </is>
      </c>
    </row>
    <row r="24" ht="39.75" customHeight="1" s="89">
      <c r="A24" s="151" t="inlineStr">
        <is>
          <t>2026-09-02(수)</t>
        </is>
      </c>
      <c r="B24" s="151" t="inlineStr">
        <is>
          <t>1단계</t>
        </is>
      </c>
      <c r="C24" s="156" t="inlineStr">
        <is>
          <t>신규작성</t>
        </is>
      </c>
      <c r="D24" s="153" t="inlineStr">
        <is>
          <t>데이터모델 설계(P0)</t>
        </is>
      </c>
      <c r="E24" s="154" t="inlineStr">
        <is>
          <t>DB명세서↔ERD↔체크리스트 3문서 최종 동기화 확인</t>
        </is>
      </c>
      <c r="F24" s="155" t="inlineStr">
        <is>
          <t>본인 — Claude(대화보조)</t>
        </is>
      </c>
      <c r="G24" s="154" t="inlineStr">
        <is>
          <t>docs/erd.md 또는 mermaid 다이어그램(신규)</t>
        </is>
      </c>
      <c r="H24" s="154" t="inlineStr">
        <is>
          <t>DB명세서에 이미 결정된 내용을 그대로 반영하는 단계 — 새로 고민하지 않는다</t>
        </is>
      </c>
      <c r="I24" s="153" t="inlineStr">
        <is>
          <t>임의로 필드나 값을 추가하지 않는다(범위확장 방지 원칙)</t>
        </is>
      </c>
      <c r="J24" s="154" t="inlineStr">
        <is>
          <t>DB명세서 해당 섹션과 실제 반영내용을 나란히 놓고 비교</t>
        </is>
      </c>
    </row>
    <row r="25" ht="39.75" customHeight="1" s="89">
      <c r="A25" s="151" t="inlineStr">
        <is>
          <t>2026-09-02(수)</t>
        </is>
      </c>
      <c r="B25" s="151" t="inlineStr">
        <is>
          <t>1단계</t>
        </is>
      </c>
      <c r="C25" s="156" t="inlineStr">
        <is>
          <t>신규작성</t>
        </is>
      </c>
      <c r="D25" s="153" t="inlineStr">
        <is>
          <t>데이터모델 설계(P0)</t>
        </is>
      </c>
      <c r="E25" s="153" t="inlineStr">
        <is>
          <t>기획서 최종 검토 및 다듬기</t>
        </is>
      </c>
      <c r="F25" s="155" t="inlineStr">
        <is>
          <t>본인 — Claude(대화보조)</t>
        </is>
      </c>
      <c r="G25" s="154" t="inlineStr">
        <is>
          <t>docs/project_plan_draft.md (신규생성)</t>
        </is>
      </c>
      <c r="H25" s="154" t="inlineStr">
        <is>
          <t>DB명세서에 이미 결정된 내용을 그대로 반영하는 단계 — 새로 고민하지 않는다</t>
        </is>
      </c>
      <c r="I25" s="153" t="inlineStr">
        <is>
          <t>임의로 필드나 값을 추가하지 않는다(범위확장 방지 원칙)</t>
        </is>
      </c>
      <c r="J25" s="154" t="inlineStr">
        <is>
          <t>DB명세서 해당 섹션과 실제 반영내용을 나란히 놓고 비교</t>
        </is>
      </c>
    </row>
    <row r="26" ht="39.75" customHeight="1" s="89">
      <c r="A26" s="151" t="inlineStr">
        <is>
          <t>2026-09-02(수)</t>
        </is>
      </c>
      <c r="B26" s="151" t="inlineStr">
        <is>
          <t>1단계</t>
        </is>
      </c>
      <c r="C26" s="157" t="inlineStr">
        <is>
          <t>설정확인</t>
        </is>
      </c>
      <c r="D26" s="153" t="inlineStr">
        <is>
          <t>데이터모델 설계(P0)</t>
        </is>
      </c>
      <c r="E26" s="154" t="inlineStr">
        <is>
          <t>Azure Cloud 서비스 확인 완료 → Render로 최종 확정(Azure 전환 안함)</t>
        </is>
      </c>
      <c r="F26" s="155" t="inlineStr">
        <is>
          <t>본인 — Claude(대화보조)</t>
        </is>
      </c>
      <c r="G26" s="153" t="inlineStr">
        <is>
          <t>클라우드 콘솔(파일 아님) — Azure Portal / Google AI Studio</t>
        </is>
      </c>
      <c r="H26" s="154" t="inlineStr">
        <is>
          <t>DB명세서에 이미 결정된 내용을 그대로 반영하는 단계 — 새로 고민하지 않는다</t>
        </is>
      </c>
      <c r="I26" s="153" t="inlineStr">
        <is>
          <t>임의로 필드나 값을 추가하지 않는다(범위확장 방지 원칙)</t>
        </is>
      </c>
      <c r="J26" s="154" t="inlineStr">
        <is>
          <t>DB명세서 해당 섹션과 실제 반영내용을 나란히 놓고 비교</t>
        </is>
      </c>
    </row>
    <row r="27" ht="39.75" customHeight="1" s="89">
      <c r="A27" s="151" t="inlineStr">
        <is>
          <t>2026-09-02(수)</t>
        </is>
      </c>
      <c r="B27" s="151" t="inlineStr">
        <is>
          <t>1단계</t>
        </is>
      </c>
      <c r="C27" s="157" t="inlineStr">
        <is>
          <t>설정확인</t>
        </is>
      </c>
      <c r="D27" s="153" t="inlineStr">
        <is>
          <t>데이터모델 설계(P0)</t>
        </is>
      </c>
      <c r="E27" s="154" t="inlineStr">
        <is>
          <t>Google AI Studio 무료 Gemini API키 미리 발급(백업용, 5분 소요, 스택변경 아님)</t>
        </is>
      </c>
      <c r="F27" s="155" t="inlineStr">
        <is>
          <t>본인 — Claude(대화보조)</t>
        </is>
      </c>
      <c r="G27" s="153" t="inlineStr">
        <is>
          <t>클라우드 콘솔(파일 아님) — Azure Portal / Google AI Studio</t>
        </is>
      </c>
      <c r="H27" s="154" t="inlineStr">
        <is>
          <t>DB명세서에 이미 결정된 내용을 그대로 반영하는 단계 — 새로 고민하지 않는다</t>
        </is>
      </c>
      <c r="I27" s="153" t="inlineStr">
        <is>
          <t>임의로 필드나 값을 추가하지 않는다(범위확장 방지 원칙)</t>
        </is>
      </c>
      <c r="J27" s="154" t="inlineStr">
        <is>
          <t>DB명세서 해당 섹션과 실제 반영내용을 나란히 놓고 비교</t>
        </is>
      </c>
    </row>
    <row r="28" ht="39.75" customHeight="1" s="89">
      <c r="A28" s="151" t="inlineStr">
        <is>
          <t>2026-09-03(목)</t>
        </is>
      </c>
      <c r="B28" s="151" t="inlineStr">
        <is>
          <t>1단계</t>
        </is>
      </c>
      <c r="C28" s="156" t="inlineStr">
        <is>
          <t>신규작성</t>
        </is>
      </c>
      <c r="D28" s="153" t="inlineStr">
        <is>
          <t>데이터모델 설계(P0)</t>
        </is>
      </c>
      <c r="E28" s="153" t="inlineStr">
        <is>
          <t>✅ 기획서 제출(오전 11시 마감 — 주제/선정이유/일정표/기술스택 포함)</t>
        </is>
      </c>
      <c r="F28" s="155" t="inlineStr">
        <is>
          <t>본인 — Claude(대화보조)</t>
        </is>
      </c>
      <c r="G28" s="154" t="inlineStr">
        <is>
          <t>docs/project_plan_draft.md (신규생성)</t>
        </is>
      </c>
      <c r="H28" s="154" t="inlineStr">
        <is>
          <t>DB명세서에 이미 결정된 내용을 그대로 반영하는 단계 — 새로 고민하지 않는다</t>
        </is>
      </c>
      <c r="I28" s="153" t="inlineStr">
        <is>
          <t>임의로 필드나 값을 추가하지 않는다(범위확장 방지 원칙)</t>
        </is>
      </c>
      <c r="J28" s="154" t="inlineStr">
        <is>
          <t>DB명세서 해당 섹션과 실제 반영내용을 나란히 놓고 비교</t>
        </is>
      </c>
    </row>
    <row r="29" ht="39.75" customHeight="1" s="89">
      <c r="A29" s="151" t="inlineStr">
        <is>
          <t>2026-09-03(목)</t>
        </is>
      </c>
      <c r="B29" s="151" t="inlineStr">
        <is>
          <t>1단계</t>
        </is>
      </c>
      <c r="C29" s="156" t="inlineStr">
        <is>
          <t>신규작성</t>
        </is>
      </c>
      <c r="D29" s="153" t="inlineStr">
        <is>
          <t>데이터모델 설계(P0)</t>
        </is>
      </c>
      <c r="E29" s="154" t="inlineStr">
        <is>
          <t>ERD 다이어그램 작성(전체 엔티티 관계도)</t>
        </is>
      </c>
      <c r="F29" s="155" t="inlineStr">
        <is>
          <t>본인 — Gemini(검토·콘텐츠보조)</t>
        </is>
      </c>
      <c r="G29" s="154" t="inlineStr">
        <is>
          <t>docs/erd.md 또는 mermaid 다이어그램(신규)</t>
        </is>
      </c>
      <c r="H29" s="154" t="inlineStr">
        <is>
          <t>DB명세서에 이미 결정된 내용을 그대로 반영하는 단계 — 새로 고민하지 않는다</t>
        </is>
      </c>
      <c r="I29" s="153" t="inlineStr">
        <is>
          <t>임의로 필드나 값을 추가하지 않는다(범위확장 방지 원칙)</t>
        </is>
      </c>
      <c r="J29" s="154" t="inlineStr">
        <is>
          <t>DB명세서 해당 섹션과 실제 반영내용을 나란히 놓고 비교</t>
        </is>
      </c>
    </row>
    <row r="30" ht="39.75" customHeight="1" s="89">
      <c r="A30" s="151" t="inlineStr">
        <is>
          <t>2026-09-03(목)</t>
        </is>
      </c>
      <c r="B30" s="151" t="inlineStr">
        <is>
          <t>1단계</t>
        </is>
      </c>
      <c r="C30" s="156" t="inlineStr">
        <is>
          <t>신규작성</t>
        </is>
      </c>
      <c r="D30" s="153" t="inlineStr">
        <is>
          <t>데이터모델 설계(P0)</t>
        </is>
      </c>
      <c r="E30" s="154" t="inlineStr">
        <is>
          <t>API Contract(엔드포인트 목록·요청/응답 스펙) 정의</t>
        </is>
      </c>
      <c r="F30" s="155" t="inlineStr">
        <is>
          <t>본인 — Gemini(검토·콘텐츠보조)</t>
        </is>
      </c>
      <c r="G30" s="154" t="inlineStr">
        <is>
          <t>docs/api_contract.md (신규생성)</t>
        </is>
      </c>
      <c r="H30" s="154" t="inlineStr">
        <is>
          <t>DB명세서에 이미 결정된 내용을 그대로 반영하는 단계 — 새로 고민하지 않는다</t>
        </is>
      </c>
      <c r="I30" s="153" t="inlineStr">
        <is>
          <t>임의로 필드나 값을 추가하지 않는다(범위확장 방지 원칙)</t>
        </is>
      </c>
      <c r="J30" s="154" t="inlineStr">
        <is>
          <t>DB명세서 해당 섹션과 실제 반영내용을 나란히 놓고 비교</t>
        </is>
      </c>
    </row>
    <row r="31" ht="39.75" customHeight="1" s="89">
      <c r="A31" s="151" t="inlineStr">
        <is>
          <t>2026-09-03(목)</t>
        </is>
      </c>
      <c r="B31" s="151" t="inlineStr">
        <is>
          <t>1단계</t>
        </is>
      </c>
      <c r="C31" s="156" t="inlineStr">
        <is>
          <t>신규작성</t>
        </is>
      </c>
      <c r="D31" s="153" t="inlineStr">
        <is>
          <t>데이터모델 설계(P0)</t>
        </is>
      </c>
      <c r="E31" s="153" t="inlineStr">
        <is>
          <t>상태전이/이벤트 구조 다이어그램 정리(예약→청소→정산→알림 연결)</t>
        </is>
      </c>
      <c r="F31" s="155" t="inlineStr">
        <is>
          <t>본인 — Gemini(검토·콘텐츠보조)</t>
        </is>
      </c>
      <c r="G31" s="154" t="inlineStr">
        <is>
          <t>docs/3rd_host_ai_db_spec_v1.md (상태전이 섹션 추가)</t>
        </is>
      </c>
      <c r="H31" s="153" t="inlineStr">
        <is>
          <t>자동추정→일괄확인→예외보정 3단계로 수작업을 최소화(엑셀 수기정산과 다르게 만드는 것이 목표)</t>
        </is>
      </c>
      <c r="I31" s="154" t="inlineStr">
        <is>
          <t>iCal에는 결제정보가 없어 모든 금액이 추정치 — financial_status(ESTIMATED/CONFIRMED/MANUALLY_ADJUSTED)로 신뢰도를 반드시 구분표시</t>
        </is>
      </c>
      <c r="J31" s="153" t="inlineStr">
        <is>
          <t>전체 예약 중 예외건(할인적용 등)만 수동수정하고 나머지는 1클릭으로 끝나는지 확인</t>
        </is>
      </c>
    </row>
    <row r="32" ht="39.75" customHeight="1" s="89">
      <c r="A32" s="151" t="inlineStr">
        <is>
          <t>2026-09-04(금)</t>
        </is>
      </c>
      <c r="B32" s="151" t="inlineStr">
        <is>
          <t>1단계</t>
        </is>
      </c>
      <c r="C32" s="156" t="inlineStr">
        <is>
          <t>신규작성</t>
        </is>
      </c>
      <c r="D32" s="153" t="inlineStr">
        <is>
          <t>데이터모델 설계(P0)</t>
        </is>
      </c>
      <c r="E32" s="154" t="inlineStr">
        <is>
          <t>✅ 1단계 검증: 스키마+ERD+API Contract 대조 확인</t>
        </is>
      </c>
      <c r="F32" s="155" t="inlineStr">
        <is>
          <t>본인 — Claude(대화보조)</t>
        </is>
      </c>
      <c r="G32" s="154" t="inlineStr">
        <is>
          <t>docs/erd.md 또는 mermaid 다이어그램(신규)</t>
        </is>
      </c>
      <c r="H32" s="154" t="inlineStr">
        <is>
          <t>DB명세서에 이미 결정된 내용을 그대로 반영하는 단계 — 새로 고민하지 않는다</t>
        </is>
      </c>
      <c r="I32" s="153" t="inlineStr">
        <is>
          <t>임의로 필드나 값을 추가하지 않는다(범위확장 방지 원칙)</t>
        </is>
      </c>
      <c r="J32" s="154" t="inlineStr">
        <is>
          <t>DB명세서 해당 섹션과 실제 반영내용을 나란히 놓고 비교</t>
        </is>
      </c>
    </row>
    <row r="33" ht="39.75" customHeight="1" s="89">
      <c r="A33" s="151" t="inlineStr">
        <is>
          <t>2026-09-05(토)</t>
        </is>
      </c>
      <c r="B33" s="151" t="inlineStr">
        <is>
          <t>2단계</t>
        </is>
      </c>
      <c r="C33" s="158" t="inlineStr">
        <is>
          <t>코드구현</t>
        </is>
      </c>
      <c r="D33" s="153" t="inlineStr">
        <is>
          <t>기반 인프라</t>
        </is>
      </c>
      <c r="E33" s="153" t="inlineStr">
        <is>
          <t>로컬 개발 DB를 Docker Postgres로 전환 결정 및 세팅(MariaDB 대신, 문법불일치 리스크 원천차단)</t>
        </is>
      </c>
      <c r="F33" s="155" t="inlineStr">
        <is>
          <t>본인 — Claude Code(터미널 직접실행 권장)</t>
        </is>
      </c>
      <c r="G33" s="154" t="inlineStr">
        <is>
          <t>backend/docker-compose.yml, backend/.env</t>
        </is>
      </c>
      <c r="H33" s="154" t="inlineStr">
        <is>
          <t>MariaDB 대신 로컬 개발부터 Postgres로 통일해 배포환경 이원화 리스크 원천 차단</t>
        </is>
      </c>
      <c r="I33" s="154" t="inlineStr">
        <is>
          <t>Supabase의 기본 Postgres 버전과 로컬 Docker 이미지 버전을 반드시 맞출 것(dev/prod parity)</t>
        </is>
      </c>
      <c r="J33" s="154" t="inlineStr">
        <is>
          <t>docker exec로 확인한 로컬 postgres 버전과 Supabase 대시보드에 표시된 버전이 같은지 비교</t>
        </is>
      </c>
    </row>
    <row r="34" ht="39.75" customHeight="1" s="89">
      <c r="A34" s="151" t="inlineStr">
        <is>
          <t>2026-09-05(토)</t>
        </is>
      </c>
      <c r="B34" s="151" t="inlineStr">
        <is>
          <t>2단계</t>
        </is>
      </c>
      <c r="C34" s="158" t="inlineStr">
        <is>
          <t>코드구현</t>
        </is>
      </c>
      <c r="D34" s="153" t="inlineStr">
        <is>
          <t>기반 인프라</t>
        </is>
      </c>
      <c r="E34" s="154" t="inlineStr">
        <is>
          <t>DB 스키마 구현(위 P0 설계 반영)</t>
        </is>
      </c>
      <c r="F34" s="155" t="inlineStr">
        <is>
          <t>본인 — Claude Code(터미널 직접실행 권장)</t>
        </is>
      </c>
      <c r="G34" s="154" t="inlineStr">
        <is>
          <t>backend/app/models/ (전체)</t>
        </is>
      </c>
      <c r="H34" s="153" t="inlineStr">
        <is>
          <t>로컬 Docker와 배포(Supabase) PostgreSQL 메이저 버전을 반드시 맞출 것(9/5에 16≠17로 어긋난 걸 뒤늦게 발견한 전례 있음)</t>
        </is>
      </c>
      <c r="I34" s="154" t="inlineStr">
        <is>
          <t>autogenerate가 pgvector import·CREATE EXTENSION·PG15+ 전용 SET NULL(컬럼목록) 문법을 자동으로 못 잡아냄 — 생성된 마이그레이션 파일을 반드시 직접 열어서 확인 후 upgrade</t>
        </is>
      </c>
      <c r="J34" s="154" t="inlineStr">
        <is>
          <t>docker exec로 psql 접속 → \dt(16개 테이블)·\dx(vector+btree_gist 확장) 확인, pg_constraint.confdelsetcols가 실제 컬럼명과 일치하는지까지 attname으로 재확인</t>
        </is>
      </c>
    </row>
    <row r="35" ht="39.75" customHeight="1" s="89">
      <c r="A35" s="151" t="inlineStr">
        <is>
          <t>2026-09-05(토)</t>
        </is>
      </c>
      <c r="B35" s="151" t="inlineStr">
        <is>
          <t>2단계</t>
        </is>
      </c>
      <c r="C35" s="158" t="inlineStr">
        <is>
          <t>코드구현</t>
        </is>
      </c>
      <c r="D35" s="153" t="inlineStr">
        <is>
          <t>기반 인프라</t>
        </is>
      </c>
      <c r="E35" s="154" t="inlineStr">
        <is>
          <t>GET /health 헬스체크 엔드포인트 구현(DB조회없이 즉시 응답, Render 슬립방지용 UptimeRobot 핑 대상)</t>
        </is>
      </c>
      <c r="F35" s="155" t="inlineStr">
        <is>
          <t>본인 — Claude Code(터미널 직접실행 권장)</t>
        </is>
      </c>
      <c r="G35" s="154" t="inlineStr">
        <is>
          <t>backend/ 또는 frontend/ (세부 위치는 해당일 착수시 확정)</t>
        </is>
      </c>
      <c r="H35" s="154" t="inlineStr">
        <is>
          <t>Render 무료플랜 슬립방지가 유일한 목적 — 이 라우터에 DB조회(get_db 의존성)를 절대 추가하지 않는다</t>
        </is>
      </c>
      <c r="I35" s="154" t="inlineStr">
        <is>
          <t>uvicorn만 띄워놓고 '됐다'고 넘기지 말 것 — 실제로 서버가 정상 기동해서 요청에 응답하는지까지 확인해야 진짜 완료</t>
        </is>
      </c>
      <c r="J35" s="153" t="inlineStr">
        <is>
          <t>브라우저 또는 curl로 http://localhost:8000/health 직접 열어서 {"status":"ok"}가 실제로 응답오는지 눈으로 확인</t>
        </is>
      </c>
    </row>
    <row r="36" ht="39.75" customHeight="1" s="89">
      <c r="A36" s="151" t="inlineStr">
        <is>
          <t>2026-09-05(토)</t>
        </is>
      </c>
      <c r="B36" s="151" t="inlineStr">
        <is>
          <t>2단계</t>
        </is>
      </c>
      <c r="C36" s="157" t="inlineStr">
        <is>
          <t>설정확인</t>
        </is>
      </c>
      <c r="D36" s="153" t="inlineStr">
        <is>
          <t>기반 인프라</t>
        </is>
      </c>
      <c r="E36" s="154" t="inlineStr">
        <is>
          <t>.env/.gitignore 초기 설정(API키·DB접속정보 분리, git 커밋 전 필수)</t>
        </is>
      </c>
      <c r="F36" s="155" t="inlineStr">
        <is>
          <t>본인 — Claude(대화보조)</t>
        </is>
      </c>
      <c r="G36" s="153" t="inlineStr">
        <is>
          <t>클라우드 콘솔(파일 아님) — Azure Portal / Google AI Studio</t>
        </is>
      </c>
      <c r="H36" s="154" t="inlineStr">
        <is>
          <t>API키/DB접속정보를 코드와 분리해 커밋 사고 원천 차단</t>
        </is>
      </c>
      <c r="I36" s="153" t="inlineStr">
        <is>
          <t>이미 한 번 커밋된 적 있는 .env는 .gitignore에 넣어도 계속 추적됨(별도 제거 필요)</t>
        </is>
      </c>
      <c r="J36" s="154" t="inlineStr">
        <is>
          <t>`git log --all --full-history -- .env` 실행해서 커밋 이력이 비어있는지 확인</t>
        </is>
      </c>
    </row>
    <row r="37" ht="39.75" customHeight="1" s="89">
      <c r="A37" s="151" t="inlineStr">
        <is>
          <t>2026-09-05(토)</t>
        </is>
      </c>
      <c r="B37" s="151" t="inlineStr">
        <is>
          <t>6단계</t>
        </is>
      </c>
      <c r="C37" s="159" t="inlineStr">
        <is>
          <t>설계/콘텐츠</t>
        </is>
      </c>
      <c r="D37" s="153" t="inlineStr">
        <is>
          <t>마무리</t>
        </is>
      </c>
      <c r="E37" s="153" t="inlineStr">
        <is>
          <t>녹화·편집 환경 설정(OBS 설정+편집툴 확정)</t>
        </is>
      </c>
      <c r="F37" s="155" t="inlineStr">
        <is>
          <t>본인 — Gemini(검토·콘텐츠보조)</t>
        </is>
      </c>
      <c r="G37" s="153" t="inlineStr">
        <is>
          <t>외부(OBS/Clipchamp), docs/video_recording_setup.md</t>
        </is>
      </c>
      <c r="H37" s="154" t="inlineStr">
        <is>
          <t>Feature Freeze 이후에는 로직 변경 없이 텍스트·설정만 수정</t>
        </is>
      </c>
      <c r="I37" s="153" t="inlineStr">
        <is>
          <t>제출 직전 급하게 뭔가 더 고치려는 유혹을 참는다</t>
        </is>
      </c>
      <c r="J37" s="153" t="inlineStr">
        <is>
          <t>최종 산출물(배포본/영상/문서)을 처음부터 끝까지 직접 재생·재확인</t>
        </is>
      </c>
    </row>
    <row r="38" ht="39.75" customHeight="1" s="89">
      <c r="A38" s="151" t="inlineStr">
        <is>
          <t>2026-09-07(월)</t>
        </is>
      </c>
      <c r="B38" s="151" t="inlineStr">
        <is>
          <t>1.5단계</t>
        </is>
      </c>
      <c r="C38" s="156" t="inlineStr">
        <is>
          <t>신규작성</t>
        </is>
      </c>
      <c r="D38" s="154" t="inlineStr">
        <is>
          <t>UI/UX 설계</t>
        </is>
      </c>
      <c r="E38" s="153" t="inlineStr">
        <is>
          <t>전체 화면목록 확정(로그인·회원가입·온보딩2스텝·대시보드·캘린더·AI인박스·액션센터·청소·정산·컴플라이언스(설정탭)·지식베이스·설정)</t>
        </is>
      </c>
      <c r="F38" s="155" t="inlineStr">
        <is>
          <t>본인 — Gemini(검토·콘텐츠보조)</t>
        </is>
      </c>
      <c r="G38" s="154" t="inlineStr">
        <is>
          <t>docs/ui_design.md, docs/ui_wireframe.md</t>
        </is>
      </c>
      <c r="H38" s="153" t="inlineStr">
        <is>
          <t>빠진 화면이 없는지가 핵심 — 로그인/빈상태 화면을 특히 놓치기 쉬움</t>
        </is>
      </c>
      <c r="I38" s="154" t="inlineStr">
        <is>
          <t>와이어프레임을 너무 디테일하게 만들지 않는다(시간 낭비, 저해상도로 충분)</t>
        </is>
      </c>
      <c r="J38" s="153" t="inlineStr">
        <is>
          <t>실제 사용 흐름 그대로 클릭 시뮬레이션 해보며 막히는 지점이 있는지 확인</t>
        </is>
      </c>
    </row>
    <row r="39" ht="39.75" customHeight="1" s="89">
      <c r="A39" s="151" t="inlineStr">
        <is>
          <t>2026-09-07(월)</t>
        </is>
      </c>
      <c r="B39" s="151" t="inlineStr">
        <is>
          <t>1.5단계</t>
        </is>
      </c>
      <c r="C39" s="156" t="inlineStr">
        <is>
          <t>신규작성</t>
        </is>
      </c>
      <c r="D39" s="154" t="inlineStr">
        <is>
          <t>UI/UX 설계</t>
        </is>
      </c>
      <c r="E39" s="153" t="inlineStr">
        <is>
          <t>핵심 화면 와이어프레임 제작(대시보드·예약모달·AI인박스·정산·온보딩)</t>
        </is>
      </c>
      <c r="F39" s="155" t="inlineStr">
        <is>
          <t>본인 — Gemini(검토·콘텐츠보조)</t>
        </is>
      </c>
      <c r="G39" s="154" t="inlineStr">
        <is>
          <t>docs/ui_design.md, docs/ui_wireframe.md</t>
        </is>
      </c>
      <c r="H39" s="153" t="inlineStr">
        <is>
          <t>빠진 화면이 없는지가 핵심 — 로그인/빈상태 화면을 특히 놓치기 쉬움</t>
        </is>
      </c>
      <c r="I39" s="154" t="inlineStr">
        <is>
          <t>와이어프레임을 너무 디테일하게 만들지 않는다(시간 낭비, 저해상도로 충분)</t>
        </is>
      </c>
      <c r="J39" s="153" t="inlineStr">
        <is>
          <t>실제 사용 흐름 그대로 클릭 시뮬레이션 해보며 막히는 지점이 있는지 확인</t>
        </is>
      </c>
    </row>
    <row r="40" ht="39.75" customHeight="1" s="89">
      <c r="A40" s="151" t="inlineStr">
        <is>
          <t>2026-09-07(월)</t>
        </is>
      </c>
      <c r="B40" s="151" t="inlineStr">
        <is>
          <t>1.5단계</t>
        </is>
      </c>
      <c r="C40" s="156" t="inlineStr">
        <is>
          <t>신규작성</t>
        </is>
      </c>
      <c r="D40" s="154" t="inlineStr">
        <is>
          <t>UI/UX 설계</t>
        </is>
      </c>
      <c r="E40" s="153" t="inlineStr">
        <is>
          <t>디자인시스템 공통 컴포넌트 정의(Header/Sidebar/Card/Badge/Modal/Toast/Loading/EmptyState)</t>
        </is>
      </c>
      <c r="F40" s="155" t="inlineStr">
        <is>
          <t>본인 — Gemini(검토·콘텐츠보조)</t>
        </is>
      </c>
      <c r="G40" s="154" t="inlineStr">
        <is>
          <t>docs/ui_design.md, docs/ui_wireframe.md</t>
        </is>
      </c>
      <c r="H40" s="153" t="inlineStr">
        <is>
          <t>빠진 화면이 없는지가 핵심 — 로그인/빈상태 화면을 특히 놓치기 쉬움</t>
        </is>
      </c>
      <c r="I40" s="153" t="inlineStr">
        <is>
          <t>와이어프레임을 너무 디테일하게 만들지 않는다(시간 낭비, 저해상도로 충분)</t>
        </is>
      </c>
      <c r="J40" s="153" t="inlineStr">
        <is>
          <t>실제 사용 흐름 그대로 클릭 시뮬레이션 해보며 막히는 지점이 있는지 확인</t>
        </is>
      </c>
    </row>
    <row r="41" ht="39.75" customHeight="1" s="89">
      <c r="A41" s="151" t="inlineStr">
        <is>
          <t>2026-09-08(화)</t>
        </is>
      </c>
      <c r="B41" s="151" t="inlineStr">
        <is>
          <t>2단계</t>
        </is>
      </c>
      <c r="C41" s="158" t="inlineStr">
        <is>
          <t>코드구현</t>
        </is>
      </c>
      <c r="D41" s="153" t="inlineStr">
        <is>
          <t>기반 인프라</t>
        </is>
      </c>
      <c r="E41" s="153" t="inlineStr">
        <is>
          <t>통합 대시보드 뼈대(3~5개 숙소 한눈에 보기)</t>
        </is>
      </c>
      <c r="F41" s="155" t="inlineStr">
        <is>
          <t>본인 — Claude Code(터미널 직접실행 권장)</t>
        </is>
      </c>
      <c r="G41" s="154" t="inlineStr">
        <is>
          <t>frontend/src/pages/Dashboard.tsx</t>
        </is>
      </c>
      <c r="H41" s="153" t="inlineStr">
        <is>
          <t>로컬과 배포 환경을 최대한 동일하게 유지(dev/prod parity)</t>
        </is>
      </c>
      <c r="I41" s="154" t="inlineStr">
        <is>
          <t>.env 파일이 실수로 커밋되지 않았는지 매번 확인</t>
        </is>
      </c>
      <c r="J41" s="153" t="inlineStr">
        <is>
          <t>로컬에서 정상 동작 확인 후에만 커밋</t>
        </is>
      </c>
    </row>
    <row r="42" ht="39.75" customHeight="1" s="89">
      <c r="A42" s="151" t="inlineStr">
        <is>
          <t>2026-09-09(수)</t>
        </is>
      </c>
      <c r="B42" s="151" t="inlineStr">
        <is>
          <t>1.5단계</t>
        </is>
      </c>
      <c r="C42" s="156" t="inlineStr">
        <is>
          <t>신규작성</t>
        </is>
      </c>
      <c r="D42" s="154" t="inlineStr">
        <is>
          <t>UI/UX 설계</t>
        </is>
      </c>
      <c r="E42" s="154" t="inlineStr">
        <is>
          <t>User Flow 다이어그램 작성(화면간 이동 구조)</t>
        </is>
      </c>
      <c r="F42" s="155" t="inlineStr">
        <is>
          <t>본인 — Gemini(검토·콘텐츠보조)</t>
        </is>
      </c>
      <c r="G42" s="154" t="inlineStr">
        <is>
          <t>docs/ui_design.md</t>
        </is>
      </c>
      <c r="H42" s="153" t="inlineStr">
        <is>
          <t>빠진 화면이 없는지가 핵심 — 로그인/빈상태 화면을 특히 놓치기 쉬움</t>
        </is>
      </c>
      <c r="I42" s="153" t="inlineStr">
        <is>
          <t>와이어프레임을 너무 디테일하게 만들지 않는다(시간 낭비, 저해상도로 충분)</t>
        </is>
      </c>
      <c r="J42" s="153" t="inlineStr">
        <is>
          <t>실제 사용 흐름 그대로 클릭 시뮬레이션 해보며 막히는 지점이 있는지 확인</t>
        </is>
      </c>
    </row>
    <row r="43" ht="39.75" customHeight="1" s="89">
      <c r="A43" s="151" t="inlineStr">
        <is>
          <t>2026-09-09(수)</t>
        </is>
      </c>
      <c r="B43" s="151" t="inlineStr">
        <is>
          <t>1.5단계</t>
        </is>
      </c>
      <c r="C43" s="156" t="inlineStr">
        <is>
          <t>신규작성</t>
        </is>
      </c>
      <c r="D43" s="154" t="inlineStr">
        <is>
          <t>UI/UX 설계</t>
        </is>
      </c>
      <c r="E43" s="153" t="inlineStr">
        <is>
          <t>회원가입/로그인 화면+API 설계(JWT)</t>
        </is>
      </c>
      <c r="F43" s="155" t="inlineStr">
        <is>
          <t>본인 — Claude(대화보조)</t>
        </is>
      </c>
      <c r="G43" s="154" t="inlineStr">
        <is>
          <t>docs/ui_design.md, docs/api_contract.md</t>
        </is>
      </c>
      <c r="H43" s="153" t="inlineStr">
        <is>
          <t>빠진 화면이 없는지가 핵심 — 로그인/빈상태 화면을 특히 놓치기 쉬움</t>
        </is>
      </c>
      <c r="I43" s="153" t="inlineStr">
        <is>
          <t>와이어프레임을 너무 디테일하게 만들지 않는다(시간 낭비, 저해상도로 충분)</t>
        </is>
      </c>
      <c r="J43" s="153" t="inlineStr">
        <is>
          <t>실제 사용 흐름 그대로 클릭 시뮬레이션 해보며 막히는 지점이 있는지 확인</t>
        </is>
      </c>
    </row>
    <row r="44" ht="39.75" customHeight="1" s="89">
      <c r="A44" s="151" t="inlineStr">
        <is>
          <t>2026-09-09(수)</t>
        </is>
      </c>
      <c r="B44" s="151" t="inlineStr">
        <is>
          <t>1.5단계</t>
        </is>
      </c>
      <c r="C44" s="156" t="inlineStr">
        <is>
          <t>신규작성</t>
        </is>
      </c>
      <c r="D44" s="154" t="inlineStr">
        <is>
          <t>UI/UX 설계</t>
        </is>
      </c>
      <c r="E44" s="154" t="inlineStr">
        <is>
          <t>✅ 1.5단계 검증: 와이어프레임 실제 흐름대로 클릭 시뮬레이션 리뷰</t>
        </is>
      </c>
      <c r="F44" s="155" t="inlineStr">
        <is>
          <t>본인 — Claude(대화보조)</t>
        </is>
      </c>
      <c r="G44" s="154" t="inlineStr">
        <is>
          <t>체크리스트 '9단계 검증 체크리스트' 시트</t>
        </is>
      </c>
      <c r="H44" s="153" t="inlineStr">
        <is>
          <t>빠진 화면이 없는지가 핵심 — 로그인/빈상태 화면을 특히 놓치기 쉬움</t>
        </is>
      </c>
      <c r="I44" s="153" t="inlineStr">
        <is>
          <t>와이어프레임을 너무 디테일하게 만들지 않는다(시간 낭비, 저해상도로 충분)</t>
        </is>
      </c>
      <c r="J44" s="153" t="inlineStr">
        <is>
          <t>실제 사용 흐름 그대로 클릭 시뮬레이션 해보며 막히는 지점이 있는지 확인</t>
        </is>
      </c>
    </row>
    <row r="45" ht="39.75" customHeight="1" s="89">
      <c r="A45" s="151" t="inlineStr">
        <is>
          <t>2026-09-10(목)</t>
        </is>
      </c>
      <c r="B45" s="151" t="inlineStr">
        <is>
          <t>2단계</t>
        </is>
      </c>
      <c r="C45" s="158" t="inlineStr">
        <is>
          <t>코드구현</t>
        </is>
      </c>
      <c r="D45" s="153" t="inlineStr">
        <is>
          <t>기반 인프라</t>
        </is>
      </c>
      <c r="E45" s="154" t="inlineStr">
        <is>
          <t>iCal 연동 + ChannelConnection 구현(sync_status/last_synced_at 표시)</t>
        </is>
      </c>
      <c r="F45" s="155" t="inlineStr">
        <is>
          <t>본인 — Claude Code(터미널 직접실행 권장)</t>
        </is>
      </c>
      <c r="G45" s="154" t="inlineStr">
        <is>
          <t>backend/app/services/ical_sync.py</t>
        </is>
      </c>
      <c r="H45" s="153" t="inlineStr">
        <is>
          <t>이 프로젝트에서 유일하게 완전히 실제(Real) 동작하는 외부연동 — 심사 신뢰도의 핵심 앵커</t>
        </is>
      </c>
      <c r="I45" s="154" t="inlineStr">
        <is>
          <t>'실시간'이라는 표현 사용 금지(플랫폼 갱신주기상 최대 3시간 지연 가능) — 반드시 '동기화 시점' 표현 사용</t>
        </is>
      </c>
      <c r="J45" s="153" t="inlineStr">
        <is>
          <t>실제 Airbnb iCal URL을 넣고 예약이 화면에 정확히 반영되는지 확인</t>
        </is>
      </c>
    </row>
    <row r="46" ht="39.75" customHeight="1" s="89">
      <c r="A46" s="151" t="inlineStr">
        <is>
          <t>2026-09-11(금)</t>
        </is>
      </c>
      <c r="B46" s="151" t="inlineStr">
        <is>
          <t>2단계</t>
        </is>
      </c>
      <c r="C46" s="158" t="inlineStr">
        <is>
          <t>코드구현</t>
        </is>
      </c>
      <c r="D46" s="153" t="inlineStr">
        <is>
          <t>기반 인프라</t>
        </is>
      </c>
      <c r="E46" s="153" t="inlineStr">
        <is>
          <t>회원가입/로그인 화면+API 구현(JWT, 비밀번호는 bcrypt 해시로 저장)</t>
        </is>
      </c>
      <c r="F46" s="155" t="inlineStr">
        <is>
          <t>본인 — Claude Code(터미널 직접실행 권장)</t>
        </is>
      </c>
      <c r="G46" s="154" t="inlineStr">
        <is>
          <t>backend/app/api/v1/endpoints/auth.py, frontend/src/pages/Login.tsx</t>
        </is>
      </c>
      <c r="H46" s="153" t="inlineStr">
        <is>
          <t>비밀번호는 반드시 bcrypt로 해시 저장</t>
        </is>
      </c>
      <c r="I46" s="154" t="inlineStr">
        <is>
          <t>JWT '발급'과 '검증'은 별개 — 토큰 유효성만 확인하고 property 소유권(IDOR) 검증을 빠뜨리면 다른 호스트 데이터에 접근 가능</t>
        </is>
      </c>
      <c r="J46" s="153" t="inlineStr">
        <is>
          <t>호스트A의 토큰으로 호스트B 소유의 property_id를 조회 시도 → 404로 차단되는지 확인</t>
        </is>
      </c>
    </row>
    <row r="47" ht="39.75" customHeight="1" s="89">
      <c r="A47" s="151" t="inlineStr">
        <is>
          <t>2026-09-12(토)</t>
        </is>
      </c>
      <c r="B47" s="151" t="inlineStr">
        <is>
          <t>2단계</t>
        </is>
      </c>
      <c r="C47" s="158" t="inlineStr">
        <is>
          <t>코드구현</t>
        </is>
      </c>
      <c r="D47" s="153" t="inlineStr">
        <is>
          <t>기반 인프라</t>
        </is>
      </c>
      <c r="E47" s="153" t="inlineStr">
        <is>
          <t>통합 캘린더 뷰: 독채=Property행 / 호스텔=Room 아코디언-Bed행</t>
        </is>
      </c>
      <c r="F47" s="155" t="inlineStr">
        <is>
          <t>본인 — Claude Code(터미널 직접실행 권장)</t>
        </is>
      </c>
      <c r="G47" s="154" t="inlineStr">
        <is>
          <t>frontend/src/pages/Calendar.tsx</t>
        </is>
      </c>
      <c r="H47" s="153" t="inlineStr">
        <is>
          <t>로컬과 배포 환경을 최대한 동일하게 유지(dev/prod parity)</t>
        </is>
      </c>
      <c r="I47" s="154" t="inlineStr">
        <is>
          <t>.env 파일이 실수로 커밋되지 않았는지 매번 확인</t>
        </is>
      </c>
      <c r="J47" s="153" t="inlineStr">
        <is>
          <t>로컬에서 정상 동작 확인 후에만 커밋</t>
        </is>
      </c>
    </row>
    <row r="48" ht="39.75" customHeight="1" s="89">
      <c r="A48" s="151" t="inlineStr">
        <is>
          <t>2026-09-12(토)</t>
        </is>
      </c>
      <c r="B48" s="151" t="inlineStr">
        <is>
          <t>2단계</t>
        </is>
      </c>
      <c r="C48" s="158" t="inlineStr">
        <is>
          <t>코드구현</t>
        </is>
      </c>
      <c r="D48" s="153" t="inlineStr">
        <is>
          <t>기반 인프라</t>
        </is>
      </c>
      <c r="E48" s="154" t="inlineStr">
        <is>
          <t>iCal 동기화 시점 중복예약 충돌 감지 + 수동 새로고침 버튼</t>
        </is>
      </c>
      <c r="F48" s="155" t="inlineStr">
        <is>
          <t>본인 — Claude Code(터미널 직접실행 권장)</t>
        </is>
      </c>
      <c r="G48" s="154" t="inlineStr">
        <is>
          <t>backend/app/services/ical_sync.py</t>
        </is>
      </c>
      <c r="H48" s="153" t="inlineStr">
        <is>
          <t>로컬과 배포 환경을 최대한 동일하게 유지(dev/prod parity)</t>
        </is>
      </c>
      <c r="I48" s="154" t="inlineStr">
        <is>
          <t>.env 파일이 실수로 커밋되지 않았는지 매번 확인</t>
        </is>
      </c>
      <c r="J48" s="153" t="inlineStr">
        <is>
          <t>로컬에서 정상 동작 확인 후에만 커밋</t>
        </is>
      </c>
    </row>
    <row r="49" ht="39.75" customHeight="1" s="89">
      <c r="A49" s="151" t="inlineStr">
        <is>
          <t>2026-09-14(월)</t>
        </is>
      </c>
      <c r="B49" s="151" t="inlineStr">
        <is>
          <t>2단계</t>
        </is>
      </c>
      <c r="C49" s="158" t="inlineStr">
        <is>
          <t>코드구현</t>
        </is>
      </c>
      <c r="D49" s="153" t="inlineStr">
        <is>
          <t>기반 인프라</t>
        </is>
      </c>
      <c r="E49" s="154" t="inlineStr">
        <is>
          <t>Property 전체대여시 하위 Room 전체 블록 인터셉터 구현(본인 3룸숙소 핵심케이스)</t>
        </is>
      </c>
      <c r="F49" s="155" t="inlineStr">
        <is>
          <t>본인 — Claude Code(터미널 직접실행 권장)</t>
        </is>
      </c>
      <c r="G49" s="154" t="inlineStr">
        <is>
          <t>backend/app/services/reservation_service.py</t>
        </is>
      </c>
      <c r="H49" s="153" t="inlineStr">
        <is>
          <t>본인 3룸숙소의 실제 운영형태(통대여)를 반영하는 핵심 로직</t>
        </is>
      </c>
      <c r="I49" s="154" t="inlineStr">
        <is>
          <t>EXCLUDE 제약만으로는 PROPERTY예약↔ROOM/BED예약 교차충돌을 못 막음 — 반드시 트랜잭션 검증 코드로 방어</t>
        </is>
      </c>
      <c r="J49" s="154" t="inlineStr">
        <is>
          <t>3룸 전체예약 확정 후 그 중 방 1개만 별도 예약 시도 → 반드시 차단되는지 확인</t>
        </is>
      </c>
    </row>
    <row r="50" ht="39.75" customHeight="1" s="89">
      <c r="A50" s="151" t="inlineStr">
        <is>
          <t>2026-09-14(월)</t>
        </is>
      </c>
      <c r="B50" s="151" t="inlineStr">
        <is>
          <t>2단계</t>
        </is>
      </c>
      <c r="C50" s="159" t="inlineStr">
        <is>
          <t>코드구현</t>
        </is>
      </c>
      <c r="D50" s="153" t="inlineStr">
        <is>
          <t>기반 인프라</t>
        </is>
      </c>
      <c r="E50" s="154" t="inlineStr">
        <is>
          <t>Room 전체대여시 하위 Bed 전체 블록 인터셉터 구현(호스텔 확장용)</t>
        </is>
      </c>
      <c r="F50" s="155" t="inlineStr">
        <is>
          <t>본인 — Claude Code(구현) / Gemini(검토)</t>
        </is>
      </c>
      <c r="G50" s="154" t="inlineStr">
        <is>
          <t>backend/app/services/reservation_service.py</t>
        </is>
      </c>
      <c r="H50" s="153" t="inlineStr">
        <is>
          <t>로컬과 배포 환경을 최대한 동일하게 유지(dev/prod parity)</t>
        </is>
      </c>
      <c r="I50" s="154" t="inlineStr">
        <is>
          <t>.env 파일이 실수로 커밋되지 않았는지 매번 확인</t>
        </is>
      </c>
      <c r="J50" s="153" t="inlineStr">
        <is>
          <t>로컬에서 정상 동작 확인 후에만 커밋</t>
        </is>
      </c>
    </row>
    <row r="51" ht="39.75" customHeight="1" s="89">
      <c r="A51" s="151" t="inlineStr">
        <is>
          <t>2026-09-14(월)</t>
        </is>
      </c>
      <c r="B51" s="151" t="inlineStr">
        <is>
          <t>2단계</t>
        </is>
      </c>
      <c r="C51" s="158" t="inlineStr">
        <is>
          <t>코드구현</t>
        </is>
      </c>
      <c r="D51" s="153" t="inlineStr">
        <is>
          <t>기반 인프라</t>
        </is>
      </c>
      <c r="E51" s="154" t="inlineStr">
        <is>
          <t>EXCLUDE USING GIST 겹침방지 제약조건 실제동작 테스트(겹침예약 insert시 DB레벨 차단 확인)</t>
        </is>
      </c>
      <c r="F51" s="155" t="inlineStr">
        <is>
          <t>본인 — Claude Code(터미널 직접실행 권장)</t>
        </is>
      </c>
      <c r="G51" s="154" t="inlineStr">
        <is>
          <t>backend/alembic/versions/ (마이그레이션)</t>
        </is>
      </c>
      <c r="H51" s="154" t="inlineStr">
        <is>
          <t>PROPERTY/ROOM/BED 단위별 겹침방지 3개로 분리(COALESCE 통합방식 폐기)</t>
        </is>
      </c>
      <c r="I51" s="154" t="inlineStr">
        <is>
          <t>COALESCE(room_id,0) 방식 절대 금지 — 0을 '값없음'과 '실제0번ID'로 구분 못해 데이터오염 위험. 점유상태(CONFIRMED 등)만 대상, CANCELLED는 제외</t>
        </is>
      </c>
      <c r="J51" s="153" t="inlineStr">
        <is>
          <t>같은 room에 겹치는 날짜로 2건 INSERT → 2번째가 에러나는지, 취소된 예약과는 겹쳐도 통과하는지 둘 다 확인</t>
        </is>
      </c>
    </row>
    <row r="52" ht="39.75" customHeight="1" s="89">
      <c r="A52" s="151" t="inlineStr">
        <is>
          <t>2026-09-15(화)</t>
        </is>
      </c>
      <c r="B52" s="151" t="inlineStr">
        <is>
          <t>2단계</t>
        </is>
      </c>
      <c r="C52" s="159" t="inlineStr">
        <is>
          <t>설계/콘텐츠</t>
        </is>
      </c>
      <c r="D52" s="153" t="inlineStr">
        <is>
          <t>기반 인프라</t>
        </is>
      </c>
      <c r="E52" s="153" t="inlineStr">
        <is>
          <t>네이버예약 채널카드 UI '내보내기 전용' 표시</t>
        </is>
      </c>
      <c r="F52" s="155" t="inlineStr">
        <is>
          <t>본인 — Gemini(검토·콘텐츠보조)</t>
        </is>
      </c>
      <c r="G52" s="154" t="inlineStr">
        <is>
          <t>backend/ 또는 frontend/ (세부 위치는 해당일 착수시 확정)</t>
        </is>
      </c>
      <c r="H52" s="153" t="inlineStr">
        <is>
          <t>로컬과 배포 환경을 최대한 동일하게 유지(dev/prod parity)</t>
        </is>
      </c>
      <c r="I52" s="154" t="inlineStr">
        <is>
          <t>.env 파일이 실수로 커밋되지 않았는지 매번 확인</t>
        </is>
      </c>
      <c r="J52" s="153" t="inlineStr">
        <is>
          <t>로컬에서 정상 동작 확인 후에만 커밋</t>
        </is>
      </c>
    </row>
    <row r="53" ht="39.75" customHeight="1" s="89">
      <c r="A53" s="151" t="inlineStr">
        <is>
          <t>2026-09-15(화)</t>
        </is>
      </c>
      <c r="B53" s="151" t="inlineStr">
        <is>
          <t>2단계</t>
        </is>
      </c>
      <c r="C53" s="158" t="inlineStr">
        <is>
          <t>코드구현</t>
        </is>
      </c>
      <c r="D53" s="153" t="inlineStr">
        <is>
          <t>기반 인프라</t>
        </is>
      </c>
      <c r="E53" s="154" t="inlineStr">
        <is>
          <t>✅ 2단계 검증: 실제 iCal URL로 캘린더 반영·중복감지 정상동작 확인</t>
        </is>
      </c>
      <c r="F53" s="155" t="inlineStr">
        <is>
          <t>본인 — Claude Code(터미널 직접실행 권장)</t>
        </is>
      </c>
      <c r="G53" s="154" t="inlineStr">
        <is>
          <t>backend/app/services/ical_sync.py</t>
        </is>
      </c>
      <c r="H53" s="153" t="inlineStr">
        <is>
          <t>로컬과 배포 환경을 최대한 동일하게 유지(dev/prod parity)</t>
        </is>
      </c>
      <c r="I53" s="154" t="inlineStr">
        <is>
          <t>.env 파일이 실수로 커밋되지 않았는지 매번 확인</t>
        </is>
      </c>
      <c r="J53" s="153" t="inlineStr">
        <is>
          <t>로컬에서 정상 동작 확인 후에만 커밋
Mock 해제 상태에서 가입 → /onboarding 숙소·객실 등록 → 대시보드 진입 확인(숙소 API 8개, api_contract 2절)</t>
        </is>
      </c>
    </row>
    <row r="54" ht="39.75" customHeight="1" s="89">
      <c r="A54" s="151" t="inlineStr">
        <is>
          <t>2026-09-16(수)</t>
        </is>
      </c>
      <c r="B54" s="151" t="inlineStr">
        <is>
          <t>2단계</t>
        </is>
      </c>
      <c r="C54" s="158" t="inlineStr">
        <is>
          <t>코드구현</t>
        </is>
      </c>
      <c r="D54" s="153" t="inlineStr">
        <is>
          <t>기반 인프라</t>
        </is>
      </c>
      <c r="E54" s="153" t="inlineStr">
        <is>
          <t>채널연결(iCal URL) 실패시 에러 안내 UI(잘못된 URL/파싱실패 케이스)</t>
        </is>
      </c>
      <c r="F54" s="155" t="inlineStr">
        <is>
          <t>본인 — Claude Code(터미널 직접실행 권장)</t>
        </is>
      </c>
      <c r="G54" s="154" t="inlineStr">
        <is>
          <t>backend/app/services/ical_sync.py</t>
        </is>
      </c>
      <c r="H54" s="153" t="inlineStr">
        <is>
          <t>로컬과 배포 환경을 최대한 동일하게 유지(dev/prod parity)</t>
        </is>
      </c>
      <c r="I54" s="154" t="inlineStr">
        <is>
          <t>.env 파일이 실수로 커밋되지 않았는지 매번 확인</t>
        </is>
      </c>
      <c r="J54" s="153" t="inlineStr">
        <is>
          <t>로컬에서 정상 동작 확인 후에만 커밋</t>
        </is>
      </c>
    </row>
    <row r="55" ht="39.75" customHeight="1" s="89">
      <c r="A55" s="151" t="inlineStr">
        <is>
          <t>2026-09-16(수)</t>
        </is>
      </c>
      <c r="B55" s="151" t="inlineStr">
        <is>
          <t>2단계</t>
        </is>
      </c>
      <c r="C55" s="157" t="inlineStr">
        <is>
          <t>코드구현</t>
        </is>
      </c>
      <c r="D55" s="153" t="inlineStr">
        <is>
          <t>기반 인프라</t>
        </is>
      </c>
      <c r="E55" s="154" t="inlineStr">
        <is>
          <t>로딩/에러/빈상태 공통 컴포넌트 적용 시작(캘린더 화면)</t>
        </is>
      </c>
      <c r="F55" s="155" t="inlineStr">
        <is>
          <t>본인 — Claude Code(터미널 직접실행 권장)</t>
        </is>
      </c>
      <c r="G55" s="153" t="inlineStr">
        <is>
          <t>frontend/src/pages/Calendar.tsx</t>
        </is>
      </c>
      <c r="H55" s="153" t="inlineStr">
        <is>
          <t>로컬과 배포 환경을 최대한 동일하게 유지(dev/prod parity)</t>
        </is>
      </c>
      <c r="I55" s="154" t="inlineStr">
        <is>
          <t>.env 파일이 실수로 커밋되지 않았는지 매번 확인</t>
        </is>
      </c>
      <c r="J55" s="153" t="inlineStr">
        <is>
          <t>로컬에서 정상 동작 확인 후에만 커밋</t>
        </is>
      </c>
    </row>
    <row r="56" ht="39.75" customHeight="1" s="89">
      <c r="A56" s="151" t="inlineStr">
        <is>
          <t>2026-09-17(목)</t>
        </is>
      </c>
      <c r="B56" s="151" t="inlineStr">
        <is>
          <t>3단계</t>
        </is>
      </c>
      <c r="C56" s="158" t="inlineStr">
        <is>
          <t>코드구현</t>
        </is>
      </c>
      <c r="D56" s="153" t="inlineStr">
        <is>
          <t>고객 응대 자동화</t>
        </is>
      </c>
      <c r="E56" s="153" t="inlineStr">
        <is>
          <t>자체 통합 인박스(게스트 채팅 시뮬레이터 UI)</t>
        </is>
      </c>
      <c r="F56" s="155" t="inlineStr">
        <is>
          <t>본인 — Claude Code(터미널 직접실행 권장)</t>
        </is>
      </c>
      <c r="G56" s="154" t="inlineStr">
        <is>
          <t>frontend/src/pages/Inbox.jsx</t>
        </is>
      </c>
      <c r="H56" s="153" t="inlineStr">
        <is>
          <t>비용통제 아키텍처(1회 통합호출) 원칙을 벗어나지 않는다</t>
        </is>
      </c>
      <c r="I56" s="154" t="inlineStr">
        <is>
          <t>property_id 스코프 누락시 교차오답(다른 숙소 정보 노출)이라는 치명적 버그가 생김</t>
        </is>
      </c>
      <c r="J56" s="153" t="inlineStr">
        <is>
          <t>실제 호출해보고 응답 품질과 호출 횟수(비용)를 함께 확인</t>
        </is>
      </c>
    </row>
    <row r="57" ht="39.75" customHeight="1" s="89">
      <c r="A57" s="151" t="inlineStr">
        <is>
          <t>2026-09-17(목)</t>
        </is>
      </c>
      <c r="B57" s="151" t="inlineStr">
        <is>
          <t>3단계</t>
        </is>
      </c>
      <c r="C57" s="158" t="inlineStr">
        <is>
          <t>설정확인</t>
        </is>
      </c>
      <c r="D57" s="153" t="inlineStr">
        <is>
          <t>고객 응대 자동화</t>
        </is>
      </c>
      <c r="E57" s="153" t="inlineStr">
        <is>
          <t>Claude API 초기설정: $5 선충전 + 월 Spend Limit $10 설정 + Dev/Prod API키 분리</t>
        </is>
      </c>
      <c r="F57" s="155" t="inlineStr">
        <is>
          <t>본인 — Claude(대화보조)</t>
        </is>
      </c>
      <c r="G57" s="154" t="inlineStr">
        <is>
          <t>클라우드 콘솔(파일 아님) — Anthropic Console</t>
        </is>
      </c>
      <c r="H57" s="153" t="inlineStr">
        <is>
          <t>비용통제 아키텍처(1회 통합호출) 원칙을 벗어나지 않는다</t>
        </is>
      </c>
      <c r="I57" s="154" t="inlineStr">
        <is>
          <t>property_id 스코프 누락시 교차오답(다른 숙소 정보 노출)이라는 치명적 버그가 생김</t>
        </is>
      </c>
      <c r="J57" s="153" t="inlineStr">
        <is>
          <t>실제 호출해보고 응답 품질과 호출 횟수(비용)를 함께 확인</t>
        </is>
      </c>
    </row>
    <row r="58" ht="39.75" customHeight="1" s="89">
      <c r="A58" s="151" t="inlineStr">
        <is>
          <t>2026-09-18(금)</t>
        </is>
      </c>
      <c r="B58" s="151" t="inlineStr">
        <is>
          <t>3단계</t>
        </is>
      </c>
      <c r="C58" s="159" t="inlineStr">
        <is>
          <t>설계/콘텐츠</t>
        </is>
      </c>
      <c r="D58" s="153" t="inlineStr">
        <is>
          <t>고객 응대 자동화</t>
        </is>
      </c>
      <c r="E58" s="153" t="inlineStr">
        <is>
          <t>숙소별 RAG 지식베이스 구축(로컬 벡터검색, LLM비용無) + property_id 스코프 격리 + 개발용 응답캐시(동일질문 반복시 API 미호출)</t>
        </is>
      </c>
      <c r="F58" s="155" t="inlineStr">
        <is>
          <t>본인 — Gemini(검토·콘텐츠보조)</t>
        </is>
      </c>
      <c r="G58" s="154" t="inlineStr">
        <is>
          <t>backend/app/services/rag.py</t>
        </is>
      </c>
      <c r="H58" s="154" t="inlineStr">
        <is>
          <t>RAG검색(로컬벡터, 비용0) → Claude 1회 통합호출로 분류+위험도+다국어+근거 동시반환</t>
        </is>
      </c>
      <c r="I58" s="153" t="inlineStr">
        <is>
          <t>멀티스텝으로 쪼개면 같은 컨텍스트를 반복 전송해 비용 급증. property_id 스코프 격리 누락시 교차오답(치명적 버그) 발생. 임베딩 모델 확정 시 EMBEDDING_DIM(현재 384, all-MiniLM-L6-v2 가정값)이 실제 선택 모델과 일치하는지 재확인 — 다르면 컬럼 마이그레이션 1회 필요</t>
        </is>
      </c>
      <c r="J58" s="153" t="inlineStr">
        <is>
          <t>숙소A/B에 동일 질문을 던져서 서로 다른 정답이 나오는지, 로그상 문의 1건당 Claude 호출이 1~2회인지 확인</t>
        </is>
      </c>
    </row>
    <row r="59" ht="39.75" customHeight="1" s="89">
      <c r="A59" s="151" t="inlineStr">
        <is>
          <t>2026-09-18(금)</t>
        </is>
      </c>
      <c r="B59" s="151" t="inlineStr">
        <is>
          <t>3단계</t>
        </is>
      </c>
      <c r="C59" s="158" t="inlineStr">
        <is>
          <t>코드구현</t>
        </is>
      </c>
      <c r="D59" s="153" t="inlineStr">
        <is>
          <t>고객 응대 자동화</t>
        </is>
      </c>
      <c r="E59" s="154" t="inlineStr">
        <is>
          <t>LLM 응답 로딩/스켈레톤 UI(3~8초 지연 대응)</t>
        </is>
      </c>
      <c r="F59" s="155" t="inlineStr">
        <is>
          <t>본인 — Claude Code(터미널 직접실행 권장)</t>
        </is>
      </c>
      <c r="G59" s="154" t="inlineStr">
        <is>
          <t>frontend/src/components/AIChatBox.jsx</t>
        </is>
      </c>
      <c r="H59" s="153" t="inlineStr">
        <is>
          <t>비용통제 아키텍처(1회 통합호출) 원칙을 벗어나지 않는다</t>
        </is>
      </c>
      <c r="I59" s="154" t="inlineStr">
        <is>
          <t>property_id 스코프 누락시 교차오답(다른 숙소 정보 노출)이라는 치명적 버그가 생김</t>
        </is>
      </c>
      <c r="J59" s="153" t="inlineStr">
        <is>
          <t>실제 호출해보고 응답 품질과 호출 횟수(비용)를 함께 확인</t>
        </is>
      </c>
    </row>
    <row r="60" ht="39.75" customHeight="1" s="89">
      <c r="A60" s="151" t="inlineStr">
        <is>
          <t>2026-09-19(토)</t>
        </is>
      </c>
      <c r="B60" s="151" t="inlineStr">
        <is>
          <t>3단계</t>
        </is>
      </c>
      <c r="C60" s="158" t="inlineStr">
        <is>
          <t>코드구현</t>
        </is>
      </c>
      <c r="D60" s="153" t="inlineStr">
        <is>
          <t>고객 응대 자동화</t>
        </is>
      </c>
      <c r="E60" s="154" t="inlineStr">
        <is>
          <t>AI 호출 재시도를 개별호출 2회로 제한(1문의=최대3 Claude호출) + 호출당 타임아웃(최초10초/재시도5초)</t>
        </is>
      </c>
      <c r="F60" s="155" t="inlineStr">
        <is>
          <t>본인 — Claude Code(터미널 직접실행 권장)</t>
        </is>
      </c>
      <c r="G60" s="154" t="inlineStr">
        <is>
          <t>backend/ 또는 frontend/ (세부 위치는 해당일 착수시 확정)</t>
        </is>
      </c>
      <c r="H60" s="153" t="inlineStr">
        <is>
          <t>비용통제 아키텍처(1회 통합호출) 원칙을 벗어나지 않는다</t>
        </is>
      </c>
      <c r="I60" s="154" t="inlineStr">
        <is>
          <t>property_id 스코프 누락시 교차오답(다른 숙소 정보 노출)이라는 치명적 버그가 생김</t>
        </is>
      </c>
      <c r="J60" s="153" t="inlineStr">
        <is>
          <t>실제 호출해보고 응답 품질과 호출 횟수(비용)를 함께 확인</t>
        </is>
      </c>
    </row>
    <row r="61" ht="39.75" customHeight="1" s="89">
      <c r="A61" s="151" t="inlineStr">
        <is>
          <t>2026-09-19(토)</t>
        </is>
      </c>
      <c r="B61" s="151" t="inlineStr">
        <is>
          <t>3단계</t>
        </is>
      </c>
      <c r="C61" s="158" t="inlineStr">
        <is>
          <t>코드구현</t>
        </is>
      </c>
      <c r="D61" s="153" t="inlineStr">
        <is>
          <t>고객 응대 자동화</t>
        </is>
      </c>
      <c r="E61" s="153" t="inlineStr">
        <is>
          <t>문의 자동분류(예약/체크인/컴플레인/일반)</t>
        </is>
      </c>
      <c r="F61" s="155" t="inlineStr">
        <is>
          <t>본인 — Claude Code(터미널 직접실행 권장)</t>
        </is>
      </c>
      <c r="G61" s="154" t="inlineStr">
        <is>
          <t>backend/app/services/ai_agent.py</t>
        </is>
      </c>
      <c r="H61" s="153" t="inlineStr">
        <is>
          <t>비용통제 아키텍처(1회 통합호출) 원칙을 벗어나지 않는다</t>
        </is>
      </c>
      <c r="I61" s="154" t="inlineStr">
        <is>
          <t>property_id 스코프 누락시 교차오답(다른 숙소 정보 노출)이라는 치명적 버그가 생김</t>
        </is>
      </c>
      <c r="J61" s="153" t="inlineStr">
        <is>
          <t>실제 호출해보고 응답 품질과 호출 횟수(비용)를 함께 확인</t>
        </is>
      </c>
    </row>
    <row r="62" ht="39.75" customHeight="1" s="89">
      <c r="A62" s="151" t="inlineStr">
        <is>
          <t>2026-09-21(월)</t>
        </is>
      </c>
      <c r="B62" s="151" t="inlineStr">
        <is>
          <t>3단계</t>
        </is>
      </c>
      <c r="C62" s="158" t="inlineStr">
        <is>
          <t>코드구현</t>
        </is>
      </c>
      <c r="D62" s="153" t="inlineStr">
        <is>
          <t>고객 응대 자동화</t>
        </is>
      </c>
      <c r="E62" s="154" t="inlineStr">
        <is>
          <t>AI 문의 엔드포인트 Rate Limit(IP당 분당10회) + LLM 사용량 로깅(토큰/지연/상태 기록)</t>
        </is>
      </c>
      <c r="F62" s="155" t="inlineStr">
        <is>
          <t>본인 — Claude Code(터미널 직접실행 권장)</t>
        </is>
      </c>
      <c r="G62" s="154" t="inlineStr">
        <is>
          <t>backend/ 또는 frontend/ (세부 위치는 해당일 착수시 확정)</t>
        </is>
      </c>
      <c r="H62" s="153" t="inlineStr">
        <is>
          <t>비용통제 아키텍처(1회 통합호출) 원칙을 벗어나지 않는다</t>
        </is>
      </c>
      <c r="I62" s="154" t="inlineStr">
        <is>
          <t>property_id 스코프 누락시 교차오답(다른 숙소 정보 노출)이라는 치명적 버그가 생김</t>
        </is>
      </c>
      <c r="J62" s="153" t="inlineStr">
        <is>
          <t>실제 호출해보고 응답 품질과 호출 횟수(비용)를 함께 확인</t>
        </is>
      </c>
    </row>
    <row r="63" ht="39.75" customHeight="1" s="89">
      <c r="A63" s="151" t="inlineStr">
        <is>
          <t>2026-09-21(월)</t>
        </is>
      </c>
      <c r="B63" s="151" t="inlineStr">
        <is>
          <t>3단계</t>
        </is>
      </c>
      <c r="C63" s="158" t="inlineStr">
        <is>
          <t>코드구현</t>
        </is>
      </c>
      <c r="D63" s="153" t="inlineStr">
        <is>
          <t>고객 응대 자동화</t>
        </is>
      </c>
      <c r="E63" s="153" t="inlineStr">
        <is>
          <t>외국인 게스트 언어 자동감지 + 다국어(영/중/일) 응답 생성</t>
        </is>
      </c>
      <c r="F63" s="155" t="inlineStr">
        <is>
          <t>본인 — Claude Code(터미널 직접실행 권장)</t>
        </is>
      </c>
      <c r="G63" s="154" t="inlineStr">
        <is>
          <t>backend/app/services/ai_agent.py</t>
        </is>
      </c>
      <c r="H63" s="153" t="inlineStr">
        <is>
          <t>영어/중국어/일본어 3개국어로 범위 고정</t>
        </is>
      </c>
      <c r="I63" s="153" t="inlineStr">
        <is>
          <t>언어 지원 확대는 범위관리 원칙상 금지(2차로 미룰 것)</t>
        </is>
      </c>
      <c r="J63" s="154" t="inlineStr">
        <is>
          <t>3개국어 각각 질문을 던져 자연스러운 답변이 나오는지 확인</t>
        </is>
      </c>
    </row>
    <row r="64" ht="39.75" customHeight="1" s="89">
      <c r="A64" s="151" t="inlineStr">
        <is>
          <t>2026-09-22(화)</t>
        </is>
      </c>
      <c r="B64" s="151" t="inlineStr">
        <is>
          <t>3단계</t>
        </is>
      </c>
      <c r="C64" s="158" t="inlineStr">
        <is>
          <t>설계/콘텐츠</t>
        </is>
      </c>
      <c r="D64" s="153" t="inlineStr">
        <is>
          <t>고객 응대 자동화</t>
        </is>
      </c>
      <c r="E64" s="154" t="inlineStr">
        <is>
          <t>위험도 분류 적용(자동:와이파이/체크인시간/주차/비번 vs 승인필요:환불/변경/할인/보상/민원/고장/안전)</t>
        </is>
      </c>
      <c r="F64" s="155" t="inlineStr">
        <is>
          <t>본인 — Gemini(검토·콘텐츠보조)</t>
        </is>
      </c>
      <c r="G64" s="154" t="inlineStr">
        <is>
          <t>backend/app/services/ai_agent.py</t>
        </is>
      </c>
      <c r="H64" s="153" t="inlineStr">
        <is>
          <t>자동응답(와이파이/체크인시간/주차/비번)과 승인필요(환불/변경/할인/보상/민원/고장/안전)를 명확히 분리</t>
        </is>
      </c>
      <c r="I64" s="154" t="inlineStr">
        <is>
          <t>이 기준표가 불명확하면 고위험 문의가 실수로 자동발송될 위험</t>
        </is>
      </c>
      <c r="J64" s="153" t="inlineStr">
        <is>
          <t>각 카테고리 질문을 실제로 넣어 자동/승인대기가 기준표대로 정확히 갈리는지 확인</t>
        </is>
      </c>
    </row>
    <row r="65" ht="39.75" customHeight="1" s="89">
      <c r="A65" s="151" t="inlineStr">
        <is>
          <t>2026-09-22(화)</t>
        </is>
      </c>
      <c r="B65" s="151" t="inlineStr">
        <is>
          <t>3단계</t>
        </is>
      </c>
      <c r="C65" s="158" t="inlineStr">
        <is>
          <t>코드구현</t>
        </is>
      </c>
      <c r="D65" s="153" t="inlineStr">
        <is>
          <t>고객 응대 자동화</t>
        </is>
      </c>
      <c r="E65" s="154" t="inlineStr">
        <is>
          <t>체크인/체크아웃 안내, 리뷰요청 자동화</t>
        </is>
      </c>
      <c r="F65" s="155" t="inlineStr">
        <is>
          <t>본인 — Claude Code(터미널 직접실행 권장)</t>
        </is>
      </c>
      <c r="G65" s="154" t="inlineStr">
        <is>
          <t>backend/app/services/notification.py</t>
        </is>
      </c>
      <c r="H65" s="153" t="inlineStr">
        <is>
          <t>비용통제 아키텍처(1회 통합호출) 원칙을 벗어나지 않는다</t>
        </is>
      </c>
      <c r="I65" s="154" t="inlineStr">
        <is>
          <t>property_id 스코프 누락시 교차오답(다른 숙소 정보 노출)이라는 치명적 버그가 생김</t>
        </is>
      </c>
      <c r="J65" s="153" t="inlineStr">
        <is>
          <t>실제 호출해보고 응답 품질과 호출 횟수(비용)를 함께 확인</t>
        </is>
      </c>
    </row>
    <row r="66" ht="39.75" customHeight="1" s="89">
      <c r="A66" s="151" t="inlineStr">
        <is>
          <t>2026-09-23(수)</t>
        </is>
      </c>
      <c r="B66" s="151" t="inlineStr">
        <is>
          <t>3단계</t>
        </is>
      </c>
      <c r="C66" s="158" t="inlineStr">
        <is>
          <t>코드구현</t>
        </is>
      </c>
      <c r="D66" s="153" t="inlineStr">
        <is>
          <t>고객 응대 자동화</t>
        </is>
      </c>
      <c r="E66" s="153" t="inlineStr">
        <is>
          <t>AI/iCal 실패시 에러 Toast·Fallback 안내 처리</t>
        </is>
      </c>
      <c r="F66" s="155" t="inlineStr">
        <is>
          <t>본인 — Claude Code(터미널 직접실행 권장)</t>
        </is>
      </c>
      <c r="G66" s="154" t="inlineStr">
        <is>
          <t>backend/app/services/ical_sync.py</t>
        </is>
      </c>
      <c r="H66" s="154" t="inlineStr">
        <is>
          <t>비용통제 아키텍처(1회 통합호출) 원칙을 벗어나지 않는다</t>
        </is>
      </c>
      <c r="I66" s="154" t="inlineStr">
        <is>
          <t>property_id 스코프 누락시 교차오답(다른 숙소 정보 노출)이라는 치명적 버그가 생김</t>
        </is>
      </c>
      <c r="J66" s="153" t="inlineStr">
        <is>
          <t>실제 호출해보고 응답 품질과 호출 횟수(비용)를 함께 확인</t>
        </is>
      </c>
    </row>
    <row r="67" ht="39.75" customHeight="1" s="89">
      <c r="A67" s="151" t="inlineStr">
        <is>
          <t>2026-09-23(수)</t>
        </is>
      </c>
      <c r="B67" s="151" t="inlineStr">
        <is>
          <t>3단계</t>
        </is>
      </c>
      <c r="C67" s="158" t="inlineStr">
        <is>
          <t>코드구현</t>
        </is>
      </c>
      <c r="D67" s="153" t="inlineStr">
        <is>
          <t>고객 응대 자동화</t>
        </is>
      </c>
      <c r="E67" s="153" t="inlineStr">
        <is>
          <t>AI 답변 '근거' 표시 UI(참고 KB 나열) + 마크다운 렌더링 처리</t>
        </is>
      </c>
      <c r="F67" s="155" t="inlineStr">
        <is>
          <t>본인 — Claude Code(터미널 직접실행 권장)</t>
        </is>
      </c>
      <c r="G67" s="154" t="inlineStr">
        <is>
          <t>backend/app/services/ai_agent.py</t>
        </is>
      </c>
      <c r="H67" s="153" t="inlineStr">
        <is>
          <t>비용통제 아키텍처(1회 통합호출) 원칙을 벗어나지 않는다</t>
        </is>
      </c>
      <c r="I67" s="154" t="inlineStr">
        <is>
          <t>property_id 스코프 누락시 교차오답(다른 숙소 정보 노출)이라는 치명적 버그가 생김</t>
        </is>
      </c>
      <c r="J67" s="153" t="inlineStr">
        <is>
          <t>실제 호출해보고 응답 품질과 호출 횟수(비용)를 함께 확인</t>
        </is>
      </c>
    </row>
    <row r="68" ht="39.75" customHeight="1" s="89">
      <c r="A68" s="151" t="inlineStr">
        <is>
          <t>2026-09-23(수)</t>
        </is>
      </c>
      <c r="B68" s="151" t="inlineStr">
        <is>
          <t>3단계</t>
        </is>
      </c>
      <c r="C68" s="159" t="inlineStr">
        <is>
          <t>코드구현</t>
        </is>
      </c>
      <c r="D68" s="153" t="inlineStr">
        <is>
          <t>고객 응대 자동화</t>
        </is>
      </c>
      <c r="E68" s="153" t="inlineStr">
        <is>
          <t>예약 상세화면→AI대화내역→Action Center 처리이력으로 이어지는 통합 딥링크/단일플로우 구현</t>
        </is>
      </c>
      <c r="F68" s="155" t="inlineStr">
        <is>
          <t>본인 — Claude Code(터미널 직접실행 권장)</t>
        </is>
      </c>
      <c r="G68" s="154" t="inlineStr">
        <is>
          <t>frontend/src/pages/Calendar.tsx (예약 상세 모달) + pages/Inbox.tsx + pages/Actions.tsx</t>
        </is>
      </c>
      <c r="H68" s="153" t="inlineStr">
        <is>
          <t>예약 상세는 별도 라우트가 아니라 캘린더 내 모달이다(ui_design 4-5절) — 모달에서 AI 대화내역·액션센터로 나가는 링크를 건다</t>
        </is>
      </c>
      <c r="I68" s="153" t="inlineStr">
        <is>
          <t>ReservationDetail.jsx라는 페이지는 라우트 목록에 없다(9/15 확인). 없는 화면을 만들지 말고 기존 모달에 딥링크를 붙인다</t>
        </is>
      </c>
      <c r="J68" s="153" t="inlineStr">
        <is>
          <t>예약 모달 → AI 대화내역 → 액션센터 처리이력까지 클릭으로 끊김 없이 이동되는지 브라우저에서 눈으로 확인</t>
        </is>
      </c>
    </row>
    <row r="69" ht="39.75" customHeight="1" s="89">
      <c r="A69" s="151" t="inlineStr">
        <is>
          <t>2026-09-23(수)</t>
        </is>
      </c>
      <c r="B69" s="151" t="inlineStr">
        <is>
          <t>3단계</t>
        </is>
      </c>
      <c r="C69" s="158" t="inlineStr">
        <is>
          <t>코드구현</t>
        </is>
      </c>
      <c r="D69" s="153" t="inlineStr">
        <is>
          <t>고객 응대 자동화</t>
        </is>
      </c>
      <c r="E69" s="153" t="inlineStr">
        <is>
          <t>중간 회귀체크포인트1: 1~3단계 기능 통합 재확인(예약→AI응대까지 흐름 재실행)</t>
        </is>
      </c>
      <c r="F69" s="155" t="inlineStr">
        <is>
          <t>본인 — Claude Code(터미널 직접실행 권장)</t>
        </is>
      </c>
      <c r="G69" s="154" t="inlineStr">
        <is>
          <t>backend/tests/test_integration_1.py</t>
        </is>
      </c>
      <c r="H69" s="153" t="inlineStr">
        <is>
          <t>비용통제 아키텍처(1회 통합호출) 원칙을 벗어나지 않는다</t>
        </is>
      </c>
      <c r="I69" s="154" t="inlineStr">
        <is>
          <t>property_id 스코프 누락시 교차오답(다른 숙소 정보 노출)이라는 치명적 버그가 생김</t>
        </is>
      </c>
      <c r="J69" s="153" t="inlineStr">
        <is>
          <t>실제 호출해보고 응답 품질과 호출 횟수(비용)를 함께 확인</t>
        </is>
      </c>
    </row>
    <row r="70" ht="39.75" customHeight="1" s="89">
      <c r="A70" s="151" t="inlineStr">
        <is>
          <t>2026-09-24(목)</t>
        </is>
      </c>
      <c r="B70" s="151" t="inlineStr">
        <is>
          <t>3단계</t>
        </is>
      </c>
      <c r="C70" s="158" t="inlineStr">
        <is>
          <t>코드구현</t>
        </is>
      </c>
      <c r="D70" s="153" t="inlineStr">
        <is>
          <t>고객 응대 자동화</t>
        </is>
      </c>
      <c r="E70" s="154" t="inlineStr">
        <is>
          <t>✅ 3단계 검증: 교차오답 테스트 + 의도적 API실패 유발후 에러UI 확인</t>
        </is>
      </c>
      <c r="F70" s="155" t="inlineStr">
        <is>
          <t>본인 — Claude Code(터미널 직접실행 권장)</t>
        </is>
      </c>
      <c r="G70" s="154" t="inlineStr">
        <is>
          <t>backend/ 또는 frontend/ (세부 위치는 해당일 착수시 확정)</t>
        </is>
      </c>
      <c r="H70" s="153" t="inlineStr">
        <is>
          <t>비용통제 아키텍처(1회 통합호출) 원칙을 벗어나지 않는다</t>
        </is>
      </c>
      <c r="I70" s="154" t="inlineStr">
        <is>
          <t>property_id 스코프 누락시 교차오답(다른 숙소 정보 노출)이라는 치명적 버그가 생김</t>
        </is>
      </c>
      <c r="J70" s="153" t="inlineStr">
        <is>
          <t>실제 호출해보고 응답 품질과 호출 횟수(비용)를 함께 확인</t>
        </is>
      </c>
    </row>
    <row r="71" ht="39.75" customHeight="1" s="89">
      <c r="A71" s="151" t="inlineStr">
        <is>
          <t>2026-09-24(목)</t>
        </is>
      </c>
      <c r="B71" s="151" t="inlineStr">
        <is>
          <t>4단계</t>
        </is>
      </c>
      <c r="C71" s="158" t="inlineStr">
        <is>
          <t>설계/콘텐츠</t>
        </is>
      </c>
      <c r="D71" s="153" t="inlineStr">
        <is>
          <t>청소·시설 관리</t>
        </is>
      </c>
      <c r="E71" s="154" t="inlineStr">
        <is>
          <t>청소 상태머신 구현(PENDING→ASSIGNED→IN_PROGRESS→COMPLETED→VERIFIED/ISSUE)</t>
        </is>
      </c>
      <c r="F71" s="155" t="inlineStr">
        <is>
          <t>본인 — Gemini(검토·콘텐츠보조)</t>
        </is>
      </c>
      <c r="G71" s="154" t="inlineStr">
        <is>
          <t>backend/app/models/cleaning.py</t>
        </is>
      </c>
      <c r="H71" s="153" t="inlineStr">
        <is>
          <t>PENDING→ASSIGNED→IN_PROGRESS→COMPLETED→VERIFIED/ISSUE 순서 준수</t>
        </is>
      </c>
      <c r="I71" s="153" t="inlineStr">
        <is>
          <t>COMPLETED와 VERIFIED 둘 다 '완료'로 취급하지 않으면 Action Center가 VERIFIED건까지 긴급알림으로 오탐</t>
        </is>
      </c>
      <c r="J71" s="153" t="inlineStr">
        <is>
          <t>VERIFIED 상태의 청소건이 Action Center 긴급알림에 안 잡히는지 확인</t>
        </is>
      </c>
    </row>
    <row r="72" ht="39.75" customHeight="1" s="89">
      <c r="A72" s="151" t="inlineStr">
        <is>
          <t>2026-09-25(금)</t>
        </is>
      </c>
      <c r="B72" s="151" t="inlineStr">
        <is>
          <t>4단계</t>
        </is>
      </c>
      <c r="C72" s="158" t="inlineStr">
        <is>
          <t>코드구현</t>
        </is>
      </c>
      <c r="D72" s="153" t="inlineStr">
        <is>
          <t>비대면 체크인</t>
        </is>
      </c>
      <c r="E72" s="153" t="inlineStr">
        <is>
          <t>예약확정시 임시 비밀번호 자동생성/만료 로직</t>
        </is>
      </c>
      <c r="F72" s="155" t="inlineStr">
        <is>
          <t>본인 — Claude Code(터미널 직접실행 권장)</t>
        </is>
      </c>
      <c r="G72" s="154" t="inlineStr">
        <is>
          <t>backend/app/services/doorlock_mock.py</t>
        </is>
      </c>
      <c r="H72" s="154" t="inlineStr">
        <is>
          <t>Mock임을 화면에서 명확히 알 수 있게 한다</t>
        </is>
      </c>
      <c r="I72" s="153" t="inlineStr">
        <is>
          <t>실제 연동처럼 보이는 문구나 UI를 쓰지 않는다</t>
        </is>
      </c>
      <c r="J72" s="153" t="inlineStr">
        <is>
          <t>화면에 시뮬레이션 표시가 있는지 육안 확인</t>
        </is>
      </c>
    </row>
    <row r="73" ht="39.75" customHeight="1" s="89">
      <c r="A73" s="151" t="inlineStr">
        <is>
          <t>2026-09-25(금)</t>
        </is>
      </c>
      <c r="B73" s="151" t="inlineStr">
        <is>
          <t>4단계</t>
        </is>
      </c>
      <c r="C73" s="158" t="inlineStr">
        <is>
          <t>코드구현</t>
        </is>
      </c>
      <c r="D73" s="153" t="inlineStr">
        <is>
          <t>청소·시설 관리</t>
        </is>
      </c>
      <c r="E73" s="153" t="inlineStr">
        <is>
          <t>예약확정 시점 청소작업 선제생성 로직(scheduled_at=체크아웃 시각, 9/3 크로스체크로 시점 정정 — 전날알림 기능 성립을 위해 필요)</t>
        </is>
      </c>
      <c r="F73" s="155" t="inlineStr">
        <is>
          <t>본인 — Claude Code(터미널 직접실행 권장)</t>
        </is>
      </c>
      <c r="G73" s="154" t="inlineStr">
        <is>
          <t>backend/ 또는 frontend/ (세부 위치는 해당일 착수시 확정)</t>
        </is>
      </c>
      <c r="H73" s="154" t="inlineStr">
        <is>
          <t>상태머신 순서(PENDING~VERIFIED/ISSUE)를 정확히 지킨다</t>
        </is>
      </c>
      <c r="I73" s="153" t="inlineStr">
        <is>
          <t>체크아웃 이벤트당 청소작업이 중복 생성되지 않게 한다</t>
        </is>
      </c>
      <c r="J73" s="153" t="inlineStr">
        <is>
          <t>상태 전이를 하나씩 실제로 눌러보며 순서대로 넘어가는지 확인</t>
        </is>
      </c>
    </row>
    <row r="74" ht="39.75" customHeight="1" s="89">
      <c r="A74" s="151" t="inlineStr">
        <is>
          <t>2026-09-25(금)</t>
        </is>
      </c>
      <c r="B74" s="151" t="inlineStr">
        <is>
          <t>4단계</t>
        </is>
      </c>
      <c r="C74" s="158" t="inlineStr">
        <is>
          <t>코드구현</t>
        </is>
      </c>
      <c r="D74" s="153" t="inlineStr">
        <is>
          <t>청소·시설 관리</t>
        </is>
      </c>
      <c r="E74" s="154" t="inlineStr">
        <is>
          <t>예약변경시 청소시간 자동 재계산 로직</t>
        </is>
      </c>
      <c r="F74" s="155" t="inlineStr">
        <is>
          <t>본인 — Claude Code(터미널 직접실행 권장)</t>
        </is>
      </c>
      <c r="G74" s="154" t="inlineStr">
        <is>
          <t>backend/app/services/cleaning.py</t>
        </is>
      </c>
      <c r="H74" s="154" t="inlineStr">
        <is>
          <t>상태머신 순서(PENDING~VERIFIED/ISSUE)를 정확히 지킨다</t>
        </is>
      </c>
      <c r="I74" s="153" t="inlineStr">
        <is>
          <t>체크아웃 이벤트당 청소작업이 중복 생성되지 않게 한다</t>
        </is>
      </c>
      <c r="J74" s="153" t="inlineStr">
        <is>
          <t>상태 전이를 하나씩 실제로 눌러보며 순서대로 넘어가는지 확인</t>
        </is>
      </c>
    </row>
    <row r="75" ht="39.75" customHeight="1" s="89">
      <c r="A75" s="151" t="inlineStr">
        <is>
          <t>2026-09-26(토)</t>
        </is>
      </c>
      <c r="B75" s="151" t="inlineStr">
        <is>
          <t>4단계</t>
        </is>
      </c>
      <c r="C75" s="158" t="inlineStr">
        <is>
          <t>코드구현</t>
        </is>
      </c>
      <c r="D75" s="153" t="inlineStr">
        <is>
          <t>청소·시설 관리</t>
        </is>
      </c>
      <c r="E75" s="154" t="inlineStr">
        <is>
          <t>Empty State/에러처리 청소·체크인 화면 반영</t>
        </is>
      </c>
      <c r="F75" s="155" t="inlineStr">
        <is>
          <t>본인 — Claude Code(터미널 직접실행 권장)</t>
        </is>
      </c>
      <c r="G75" s="154" t="inlineStr">
        <is>
          <t>frontend/src/pages/Cleaning.jsx</t>
        </is>
      </c>
      <c r="H75" s="154" t="inlineStr">
        <is>
          <t>상태머신 순서(PENDING~VERIFIED/ISSUE)를 정확히 지킨다</t>
        </is>
      </c>
      <c r="I75" s="153" t="inlineStr">
        <is>
          <t>체크아웃 이벤트당 청소작업이 중복 생성되지 않게 한다</t>
        </is>
      </c>
      <c r="J75" s="153" t="inlineStr">
        <is>
          <t>상태 전이를 하나씩 실제로 눌러보며 순서대로 넘어가는지 확인</t>
        </is>
      </c>
    </row>
    <row r="76" ht="39.75" customHeight="1" s="89">
      <c r="A76" s="151" t="inlineStr">
        <is>
          <t>2026-09-26(토)</t>
        </is>
      </c>
      <c r="B76" s="151" t="inlineStr">
        <is>
          <t>4단계</t>
        </is>
      </c>
      <c r="C76" s="158" t="inlineStr">
        <is>
          <t>코드구현</t>
        </is>
      </c>
      <c r="D76" s="153" t="inlineStr">
        <is>
          <t>비대면 체크인</t>
        </is>
      </c>
      <c r="E76" s="154" t="inlineStr">
        <is>
          <t>스마트락 100% Mock 확정 + '시뮬레이션' 뱃지 표시</t>
        </is>
      </c>
      <c r="F76" s="155" t="inlineStr">
        <is>
          <t>본인 — Claude Code(터미널 직접실행 권장)</t>
        </is>
      </c>
      <c r="G76" s="154" t="inlineStr">
        <is>
          <t>backend/app/services/doorlock_mock.py</t>
        </is>
      </c>
      <c r="H76" s="154" t="inlineStr">
        <is>
          <t>1개도 실연동 시도하지 않고 개발 착수부터 100% Mock으로 확정(시간 확보)</t>
        </is>
      </c>
      <c r="I76" s="153" t="inlineStr">
        <is>
          <t>화면에 '시뮬레이션'임을 명확히 표시해야 함 — 실제 연동처럼 보이면 심사 시 오해 소지</t>
        </is>
      </c>
      <c r="J76" s="153" t="inlineStr">
        <is>
          <t>화면에 Mock 뱃지가 육안으로 확인되는지</t>
        </is>
      </c>
    </row>
    <row r="77" ht="39.75" customHeight="1" s="89">
      <c r="A77" s="151" t="inlineStr">
        <is>
          <t>2026-09-26(토)</t>
        </is>
      </c>
      <c r="B77" s="151" t="inlineStr">
        <is>
          <t>4단계</t>
        </is>
      </c>
      <c r="C77" s="158" t="inlineStr">
        <is>
          <t>코드구현</t>
        </is>
      </c>
      <c r="D77" s="153" t="inlineStr">
        <is>
          <t>비대면 체크인</t>
        </is>
      </c>
      <c r="E77" s="153" t="inlineStr">
        <is>
          <t>Mock 락 상태 대시보드(잠김/열림/배터리)</t>
        </is>
      </c>
      <c r="F77" s="155" t="inlineStr">
        <is>
          <t>본인 — Claude Code(터미널 직접실행 권장)</t>
        </is>
      </c>
      <c r="G77" s="154" t="inlineStr">
        <is>
          <t>frontend/src/pages/Dashboard.tsx</t>
        </is>
      </c>
      <c r="H77" s="153" t="inlineStr">
        <is>
          <t>Mock임을 화면에서 명확히 알 수 있게 한다</t>
        </is>
      </c>
      <c r="I77" s="153" t="inlineStr">
        <is>
          <t>실제 연동처럼 보이는 문구나 UI를 쓰지 않는다</t>
        </is>
      </c>
      <c r="J77" s="153" t="inlineStr">
        <is>
          <t>화면에 시뮬레이션 표시가 있는지 육안 확인</t>
        </is>
      </c>
    </row>
    <row r="78" ht="39.75" customHeight="1" s="89">
      <c r="A78" s="151" t="inlineStr">
        <is>
          <t>2026-09-28(월)</t>
        </is>
      </c>
      <c r="B78" s="151" t="inlineStr">
        <is>
          <t>4단계</t>
        </is>
      </c>
      <c r="C78" s="159" t="inlineStr">
        <is>
          <t>코드구현</t>
        </is>
      </c>
      <c r="D78" s="153" t="inlineStr">
        <is>
          <t>청소·시설 관리</t>
        </is>
      </c>
      <c r="E78" s="153" t="inlineStr">
        <is>
          <t>문자API(알리고 등) 청소업체 알림 자동발송</t>
        </is>
      </c>
      <c r="F78" s="155" t="inlineStr">
        <is>
          <t>본인 — Claude Code(터미널 직접실행 권장)</t>
        </is>
      </c>
      <c r="G78" s="154" t="inlineStr">
        <is>
          <t>backend/app/services/sms.py</t>
        </is>
      </c>
      <c r="H78" s="154" t="inlineStr">
        <is>
          <t>상태머신 순서(PENDING~VERIFIED/ISSUE)를 정확히 지킨다</t>
        </is>
      </c>
      <c r="I78" s="153" t="inlineStr">
        <is>
          <t>체크아웃 이벤트당 청소작업이 중복 생성되지 않게 한다</t>
        </is>
      </c>
      <c r="J78" s="153" t="inlineStr">
        <is>
          <t>상태 전이를 하나씩 실제로 눌러보며 순서대로 넘어가는지 확인</t>
        </is>
      </c>
    </row>
    <row r="79" ht="39.75" customHeight="1" s="89">
      <c r="A79" s="151" t="inlineStr">
        <is>
          <t>2026-09-28(월)</t>
        </is>
      </c>
      <c r="B79" s="151" t="inlineStr">
        <is>
          <t>4단계</t>
        </is>
      </c>
      <c r="C79" s="159" t="inlineStr">
        <is>
          <t>코드구현</t>
        </is>
      </c>
      <c r="D79" s="153" t="inlineStr">
        <is>
          <t>청소·시설 관리</t>
        </is>
      </c>
      <c r="E79" s="153" t="inlineStr">
        <is>
          <t>체크리스트+사진업로드 완료확인(VERIFIED 단계)</t>
        </is>
      </c>
      <c r="F79" s="155" t="inlineStr">
        <is>
          <t>본인 — Claude Code(터미널 직접실행 권장)</t>
        </is>
      </c>
      <c r="G79" s="154" t="inlineStr">
        <is>
          <t>frontend/src/pages/Cleaning.jsx</t>
        </is>
      </c>
      <c r="H79" s="154" t="inlineStr">
        <is>
          <t>상태머신 순서(PENDING~VERIFIED/ISSUE)를 정확히 지킨다</t>
        </is>
      </c>
      <c r="I79" s="154" t="inlineStr">
        <is>
          <t>체크아웃 이벤트당 청소작업이 중복 생성되지 않게 한다</t>
        </is>
      </c>
      <c r="J79" s="154" t="inlineStr">
        <is>
          <t>상태 전이를 하나씩 실제로 눌러보며 순서대로 넘어가는지 확인</t>
        </is>
      </c>
    </row>
    <row r="80" ht="39.75" customHeight="1" s="89">
      <c r="A80" s="151" t="inlineStr">
        <is>
          <t>2026-09-28(월)</t>
        </is>
      </c>
      <c r="B80" s="151" t="inlineStr">
        <is>
          <t>4단계</t>
        </is>
      </c>
      <c r="C80" s="158" t="inlineStr">
        <is>
          <t>설계/콘텐츠</t>
        </is>
      </c>
      <c r="D80" s="153" t="inlineStr">
        <is>
          <t>청소·시설 관리</t>
        </is>
      </c>
      <c r="E80" s="153" t="inlineStr">
        <is>
          <t>호스텔 객실(Room)단위 정비 체크리스트 + 비품부족 체크박스</t>
        </is>
      </c>
      <c r="F80" s="155" t="inlineStr">
        <is>
          <t>본인 — Gemini(검토·콘텐츠보조)</t>
        </is>
      </c>
      <c r="G80" s="154" t="inlineStr">
        <is>
          <t>frontend/src/pages/Cleaning.jsx</t>
        </is>
      </c>
      <c r="H80" s="153" t="inlineStr">
        <is>
          <t>상태머신 순서(PENDING~VERIFIED/ISSUE)를 정확히 지킨다</t>
        </is>
      </c>
      <c r="I80" s="153" t="inlineStr">
        <is>
          <t>체크아웃 이벤트당 청소작업이 중복 생성되지 않게 한다</t>
        </is>
      </c>
      <c r="J80" s="153" t="inlineStr">
        <is>
          <t>상태 전이를 하나씩 실제로 눌러보며 순서대로 넘어가는지 확인</t>
        </is>
      </c>
    </row>
    <row r="81" ht="39.75" customHeight="1" s="89">
      <c r="A81" s="151" t="inlineStr">
        <is>
          <t>2026-09-29(화)</t>
        </is>
      </c>
      <c r="B81" s="151" t="inlineStr">
        <is>
          <t>4단계</t>
        </is>
      </c>
      <c r="C81" s="159" t="inlineStr">
        <is>
          <t>신규작성</t>
        </is>
      </c>
      <c r="D81" s="153" t="inlineStr">
        <is>
          <t>청소·시설 관리</t>
        </is>
      </c>
      <c r="E81" s="153" t="inlineStr">
        <is>
          <t>✅ 4단계 검증: 체크아웃→청소생성→상태전이 전체 흐름 1회 시뮬레이션</t>
        </is>
      </c>
      <c r="F81" s="155" t="inlineStr">
        <is>
          <t>본인 — Claude(대화보조)</t>
        </is>
      </c>
      <c r="G81" s="154" t="inlineStr">
        <is>
          <t>docs/3rd_host_ai_db_spec_v1.md (상태전이 섹션 추가)</t>
        </is>
      </c>
      <c r="H81" s="153" t="inlineStr">
        <is>
          <t>상태머신 순서(PENDING~VERIFIED/ISSUE)를 정확히 지킨다</t>
        </is>
      </c>
      <c r="I81" s="154" t="inlineStr">
        <is>
          <t>체크아웃 이벤트당 청소작업이 중복 생성되지 않게 한다</t>
        </is>
      </c>
      <c r="J81" s="153" t="inlineStr">
        <is>
          <t>상태 전이를 하나씩 실제로 눌러보며 순서대로 넘어가는지 확인</t>
        </is>
      </c>
    </row>
    <row r="82" ht="39.75" customHeight="1" s="89">
      <c r="A82" s="151" t="inlineStr">
        <is>
          <t>2026-09-29(화)</t>
        </is>
      </c>
      <c r="B82" s="151" t="inlineStr">
        <is>
          <t>5단계</t>
        </is>
      </c>
      <c r="C82" s="158" t="inlineStr">
        <is>
          <t>설계/콘텐츠</t>
        </is>
      </c>
      <c r="D82" s="153" t="inlineStr">
        <is>
          <t>정산 리포트</t>
        </is>
      </c>
      <c r="E82" s="153" t="inlineStr">
        <is>
          <t>채널별 수수료 템플릿 설계(Airbnb 15.5%, Booking.com 15~18% 등)</t>
        </is>
      </c>
      <c r="F82" s="155" t="inlineStr">
        <is>
          <t>본인 — Gemini(검토·콘텐츠보조)</t>
        </is>
      </c>
      <c r="G82" s="154" t="inlineStr">
        <is>
          <t>backend/app/services/settlement.py</t>
        </is>
      </c>
      <c r="H82" s="153" t="inlineStr">
        <is>
          <t>모든 금액이 추정치임을 UI에서 명확히 구분 표시한다</t>
        </is>
      </c>
      <c r="I82" s="153" t="inlineStr">
        <is>
          <t>실제 결제 확정 금액으로 착각되지 않게 financial_status를 반드시 노출</t>
        </is>
      </c>
      <c r="J82" s="153" t="inlineStr">
        <is>
          <t>예상/확정/수동수정 뱃지가 실제로 다르게 표시되는지 확인</t>
        </is>
      </c>
    </row>
    <row r="83" ht="39.75" customHeight="1" s="89">
      <c r="A83" s="151" t="inlineStr">
        <is>
          <t>2026-09-30(수)</t>
        </is>
      </c>
      <c r="B83" s="151" t="inlineStr">
        <is>
          <t>5단계</t>
        </is>
      </c>
      <c r="C83" s="158" t="inlineStr">
        <is>
          <t>코드구현</t>
        </is>
      </c>
      <c r="D83" s="153" t="inlineStr">
        <is>
          <t>정산 리포트</t>
        </is>
      </c>
      <c r="E83" s="153" t="inlineStr">
        <is>
          <t>1단계 자동추정 로직(Room 기본단가×박수-수수료)</t>
        </is>
      </c>
      <c r="F83" s="155" t="inlineStr">
        <is>
          <t>본인 — Claude Code(터미널 직접실행 권장)</t>
        </is>
      </c>
      <c r="G83" s="154" t="inlineStr">
        <is>
          <t>backend/app/services/settlement.py</t>
        </is>
      </c>
      <c r="H83" s="153" t="inlineStr">
        <is>
          <t>모든 금액이 추정치임을 UI에서 명확히 구분 표시한다</t>
        </is>
      </c>
      <c r="I83" s="153" t="inlineStr">
        <is>
          <t>실제 결제 확정 금액으로 착각되지 않게 financial_status를 반드시 노출</t>
        </is>
      </c>
      <c r="J83" s="153" t="inlineStr">
        <is>
          <t>예상/확정/수동수정 뱃지가 실제로 다르게 표시되는지 확인</t>
        </is>
      </c>
    </row>
    <row r="84" ht="39.75" customHeight="1" s="89">
      <c r="A84" s="151" t="inlineStr">
        <is>
          <t>2026-09-30(수)</t>
        </is>
      </c>
      <c r="B84" s="151" t="inlineStr">
        <is>
          <t>5단계</t>
        </is>
      </c>
      <c r="C84" s="158" t="inlineStr">
        <is>
          <t>코드구현</t>
        </is>
      </c>
      <c r="D84" s="153" t="inlineStr">
        <is>
          <t>정산 리포트</t>
        </is>
      </c>
      <c r="E84" s="153" t="inlineStr">
        <is>
          <t>취소/환불 반영 로직(refund_status 연동, 매출 자동제외)</t>
        </is>
      </c>
      <c r="F84" s="155" t="inlineStr">
        <is>
          <t>본인 — Claude Code(터미널 직접실행 권장)</t>
        </is>
      </c>
      <c r="G84" s="154" t="inlineStr">
        <is>
          <t>backend/app/services/settlement.py</t>
        </is>
      </c>
      <c r="H84" s="153" t="inlineStr">
        <is>
          <t>모든 금액이 추정치임을 UI에서 명확히 구분 표시한다</t>
        </is>
      </c>
      <c r="I84" s="153" t="inlineStr">
        <is>
          <t>실제 결제 확정 금액으로 착각되지 않게 financial_status를 반드시 노출</t>
        </is>
      </c>
      <c r="J84" s="153" t="inlineStr">
        <is>
          <t>예상/확정/수동수정 뱃지가 실제로 다르게 표시되는지 확인</t>
        </is>
      </c>
    </row>
    <row r="85" ht="39.75" customHeight="1" s="89">
      <c r="A85" s="151" t="inlineStr">
        <is>
          <t>2026-10-01(목)</t>
        </is>
      </c>
      <c r="B85" s="151" t="inlineStr">
        <is>
          <t>6단계</t>
        </is>
      </c>
      <c r="C85" s="159" t="inlineStr">
        <is>
          <t>코드구현</t>
        </is>
      </c>
      <c r="D85" s="153" t="inlineStr">
        <is>
          <t>마무리</t>
        </is>
      </c>
      <c r="E85" s="153" t="inlineStr">
        <is>
          <t>Vercel+Render+Supabase 스테이징=프로덕션 서비스 생성(뼈대 프로젝트로 CORS/env 연결 테스트, 10/8에 그대로 정식승격)</t>
        </is>
      </c>
      <c r="F85" s="155" t="inlineStr">
        <is>
          <t>본인 — Claude Code(터미널 직접실행 권장)</t>
        </is>
      </c>
      <c r="G85" s="154" t="inlineStr">
        <is>
          <t>backend/ 또는 frontend/ (세부 위치는 해당일 착수시 확정)</t>
        </is>
      </c>
      <c r="H85" s="153" t="inlineStr">
        <is>
          <t>Feature Freeze 이후에는 로직 변경 없이 텍스트·설정만 수정</t>
        </is>
      </c>
      <c r="I85" s="153" t="inlineStr">
        <is>
          <t>제출 직전 급하게 뭔가 더 고치려는 유혹을 참는다</t>
        </is>
      </c>
      <c r="J85" s="153" t="inlineStr">
        <is>
          <t>최종 산출물(배포본/영상/문서)을 처음부터 끝까지 직접 재생·재확인</t>
        </is>
      </c>
    </row>
    <row r="86" ht="39.75" customHeight="1" s="89">
      <c r="A86" s="151" t="inlineStr">
        <is>
          <t>2026-10-01(목)</t>
        </is>
      </c>
      <c r="B86" s="151" t="inlineStr">
        <is>
          <t>6단계</t>
        </is>
      </c>
      <c r="C86" s="156" t="inlineStr">
        <is>
          <t>코드구현</t>
        </is>
      </c>
      <c r="D86" s="153" t="inlineStr">
        <is>
          <t>마무리</t>
        </is>
      </c>
      <c r="E86" s="154" t="inlineStr">
        <is>
          <t>.env.production 환경변수 설정(Vercel/Render/Supabase 키 분리)</t>
        </is>
      </c>
      <c r="F86" s="155" t="inlineStr">
        <is>
          <t>본인 — Claude Code(터미널 직접실행 권장)</t>
        </is>
      </c>
      <c r="G86" s="154" t="inlineStr">
        <is>
          <t>backend/.env.production, frontend/.env.production</t>
        </is>
      </c>
      <c r="H86" s="153" t="inlineStr">
        <is>
          <t>JWT_SECRET_KEY를 실제 값으로 교체(기본값 change-me-in-production 방치 시 토큰 위조 가능). CORS_ORIGINS에 Vercel 배포 도메인 추가(현재 localhost:5173만 허용). SUPABASE_DATABASE_URL 설정.</t>
        </is>
      </c>
      <c r="I86" s="153" t="inlineStr">
        <is>
          <t>.env.production은 커밋하지 않는다(.gitignore 확인). 실제 값은 Vercel·Render 대시보드 환경변수로 주입한다.</t>
        </is>
      </c>
      <c r="J86" s="153" t="inlineStr">
        <is>
          <t>배포본에서 로그인 성공 여부와 프론트→백엔드 API 호출이 CORS 오류 없이 되는지 확인</t>
        </is>
      </c>
    </row>
    <row r="87" ht="39.75" customHeight="1" s="89">
      <c r="A87" s="151" t="inlineStr">
        <is>
          <t>2026-10-01(목)</t>
        </is>
      </c>
      <c r="B87" s="151" t="inlineStr">
        <is>
          <t>5단계</t>
        </is>
      </c>
      <c r="C87" s="158" t="inlineStr">
        <is>
          <t>설계/콘텐츠</t>
        </is>
      </c>
      <c r="D87" s="153" t="inlineStr">
        <is>
          <t>컴플라이언스</t>
        </is>
      </c>
      <c r="E87" s="154" t="inlineStr">
        <is>
          <t>개인정보 최소수집 원칙 점검(게스트데이터-RAG데이터 분리 확인)</t>
        </is>
      </c>
      <c r="F87" s="155" t="inlineStr">
        <is>
          <t>본인 — Gemini(검토·콘텐츠보조)</t>
        </is>
      </c>
      <c r="G87" s="154" t="inlineStr">
        <is>
          <t>backend/app/services/rag.py</t>
        </is>
      </c>
      <c r="H87" s="154" t="inlineStr">
        <is>
          <t>RAG검색(로컬벡터, 비용0) → Claude 1회 통합호출로 분류+위험도+다국어+근거 동시반환</t>
        </is>
      </c>
      <c r="I87" s="153" t="inlineStr">
        <is>
          <t>멀티스텝으로 쪼개면 같은 컨텍스트를 반복 전송해 비용 급증. property_id 스코프 격리 누락시 교차오답(치명적 버그) 발생. 임베딩 모델 확정 시 EMBEDDING_DIM(현재 384, all-MiniLM-L6-v2 가정값)이 실제 선택 모델과 일치하는지 재확인 — 다르면 컬럼 마이그레이션 1회 필요</t>
        </is>
      </c>
      <c r="J87" s="153" t="inlineStr">
        <is>
          <t>숙소A/B에 동일 질문을 던져서 서로 다른 정답이 나오는지, 로그상 문의 1건당 Claude 호출이 1~2회인지 확인</t>
        </is>
      </c>
    </row>
    <row r="88" ht="39.75" customHeight="1" s="89">
      <c r="A88" s="151" t="inlineStr">
        <is>
          <t>2026-10-01(목)</t>
        </is>
      </c>
      <c r="B88" s="151" t="inlineStr">
        <is>
          <t>5단계</t>
        </is>
      </c>
      <c r="C88" s="159" t="inlineStr">
        <is>
          <t>설계/콘텐츠</t>
        </is>
      </c>
      <c r="D88" s="153" t="inlineStr">
        <is>
          <t>컴플라이언스</t>
        </is>
      </c>
      <c r="E88" s="153" t="inlineStr">
        <is>
          <t>숙박업 유형별 체크리스트 정적 JSON 템플릿, 법정명칭 정확표기</t>
        </is>
      </c>
      <c r="F88" s="155" t="inlineStr">
        <is>
          <t>본인 — Gemini(검토·콘텐츠보조)</t>
        </is>
      </c>
      <c r="G88" s="154" t="inlineStr">
        <is>
          <t>backend/app/data/checklist_templates.json</t>
        </is>
      </c>
      <c r="H88" s="153" t="inlineStr">
        <is>
          <t>법률판단이 아니라 참고용 체크리스트임을 UI에 명시</t>
        </is>
      </c>
      <c r="I88" s="153" t="inlineStr">
        <is>
          <t>숙박업 유형별 정교한 법률 로직을 만들지 않는다(범위 초과)</t>
        </is>
      </c>
      <c r="J88" s="153" t="inlineStr">
        <is>
          <t>'참고용, 관할 지자체 확인 필요' 문구가 화면에 표시되는지 확인</t>
        </is>
      </c>
    </row>
    <row r="89" ht="39.75" customHeight="1" s="89">
      <c r="A89" s="151" t="inlineStr">
        <is>
          <t>2026-10-02(금)</t>
        </is>
      </c>
      <c r="B89" s="151" t="inlineStr">
        <is>
          <t>5단계</t>
        </is>
      </c>
      <c r="C89" s="158" t="inlineStr">
        <is>
          <t>설계/콘텐츠</t>
        </is>
      </c>
      <c r="D89" s="153" t="inlineStr">
        <is>
          <t>정산 리포트</t>
        </is>
      </c>
      <c r="E89" s="154" t="inlineStr">
        <is>
          <t>데모 시드 데이터 스크립트 작성(호스트1+숙소3+예약15~20건+문의+청소+정산+긴급알림 시나리오, 발표 시점 기준 상대시간(체크인 D-1.5시간 등) 자동계산 로직 포함)</t>
        </is>
      </c>
      <c r="F89" s="155" t="inlineStr">
        <is>
          <t>본인 — Gemini(검토·콘텐츠보조)</t>
        </is>
      </c>
      <c r="G89" s="154" t="inlineStr">
        <is>
          <t>backend/scripts/seed_demo.py</t>
        </is>
      </c>
      <c r="H89" s="153" t="inlineStr">
        <is>
          <t>자동추정→일괄확인→예외보정 3단계로 수작업을 최소화(엑셀 수기정산과 다르게 만드는 것이 목표)</t>
        </is>
      </c>
      <c r="I89" s="153" t="inlineStr">
        <is>
          <t>iCal에는 결제정보가 없어 모든 금액이 추정치 — financial_status(ESTIMATED/CONFIRMED/MANUALLY_ADJUSTED)로 신뢰도를 반드시 구분표시</t>
        </is>
      </c>
      <c r="J89" s="153" t="inlineStr">
        <is>
          <t>전체 예약 중 예외건(할인적용 등)만 수동수정하고 나머지는 1클릭으로 끝나는지 확인</t>
        </is>
      </c>
    </row>
    <row r="90" ht="39.75" customHeight="1" s="89">
      <c r="A90" s="151" t="inlineStr">
        <is>
          <t>2026-10-02(금)</t>
        </is>
      </c>
      <c r="B90" s="151" t="inlineStr">
        <is>
          <t>5단계</t>
        </is>
      </c>
      <c r="C90" s="158" t="inlineStr">
        <is>
          <t>코드구현</t>
        </is>
      </c>
      <c r="D90" s="153" t="inlineStr">
        <is>
          <t>정산 리포트</t>
        </is>
      </c>
      <c r="E90" s="154" t="inlineStr">
        <is>
          <t>시드 스크립트 실행 및 데이터 정상 반영 확인</t>
        </is>
      </c>
      <c r="F90" s="155" t="inlineStr">
        <is>
          <t>본인 — Claude Code(터미널 직접실행 권장)</t>
        </is>
      </c>
      <c r="G90" s="154" t="inlineStr">
        <is>
          <t>backend/ 또는 frontend/ (세부 위치는 해당일 착수시 확정)</t>
        </is>
      </c>
      <c r="H90" s="153" t="inlineStr">
        <is>
          <t>모든 금액이 추정치임을 UI에서 명확히 구분 표시한다</t>
        </is>
      </c>
      <c r="I90" s="153" t="inlineStr">
        <is>
          <t>실제 결제 확정 금액으로 착각되지 않게 financial_status를 반드시 노출</t>
        </is>
      </c>
      <c r="J90" s="153" t="inlineStr">
        <is>
          <t>예상/확정/수동수정 뱃지가 실제로 다르게 표시되는지 확인</t>
        </is>
      </c>
    </row>
    <row r="91" ht="39.75" customHeight="1" s="89">
      <c r="A91" s="151" t="inlineStr">
        <is>
          <t>2026-10-02(금)</t>
        </is>
      </c>
      <c r="B91" s="151" t="inlineStr">
        <is>
          <t>5단계</t>
        </is>
      </c>
      <c r="C91" s="158" t="inlineStr">
        <is>
          <t>코드구현</t>
        </is>
      </c>
      <c r="D91" s="153" t="inlineStr">
        <is>
          <t>정산 리포트</t>
        </is>
      </c>
      <c r="E91" s="154" t="inlineStr">
        <is>
          <t>2단계 일괄확인(Bulk Confirm) UI</t>
        </is>
      </c>
      <c r="F91" s="155" t="inlineStr">
        <is>
          <t>본인 — Claude Code(터미널 직접실행 권장)</t>
        </is>
      </c>
      <c r="G91" s="154" t="inlineStr">
        <is>
          <t>frontend/src/pages/Settlement.jsx</t>
        </is>
      </c>
      <c r="H91" s="153" t="inlineStr">
        <is>
          <t>모든 금액이 추정치임을 UI에서 명확히 구분 표시한다</t>
        </is>
      </c>
      <c r="I91" s="153" t="inlineStr">
        <is>
          <t>실제 결제 확정 금액으로 착각되지 않게 financial_status를 반드시 노출</t>
        </is>
      </c>
      <c r="J91" s="153" t="inlineStr">
        <is>
          <t>예상/확정/수동수정 뱃지가 실제로 다르게 표시되는지 확인</t>
        </is>
      </c>
    </row>
    <row r="92" ht="39.75" customHeight="1" s="89">
      <c r="A92" s="151" t="inlineStr">
        <is>
          <t>2026-10-02(금)</t>
        </is>
      </c>
      <c r="B92" s="151" t="inlineStr">
        <is>
          <t>5단계</t>
        </is>
      </c>
      <c r="C92" s="158" t="inlineStr">
        <is>
          <t>코드구현</t>
        </is>
      </c>
      <c r="D92" s="153" t="inlineStr">
        <is>
          <t>정산 리포트</t>
        </is>
      </c>
      <c r="E92" s="153" t="inlineStr">
        <is>
          <t>3단계 예외보정(Inline Edit, 차이나는 건만)</t>
        </is>
      </c>
      <c r="F92" s="155" t="inlineStr">
        <is>
          <t>본인 — Claude Code(터미널 직접실행 권장)</t>
        </is>
      </c>
      <c r="G92" s="154" t="inlineStr">
        <is>
          <t>frontend/src/pages/Settlement.jsx</t>
        </is>
      </c>
      <c r="H92" s="153" t="inlineStr">
        <is>
          <t>모든 금액이 추정치임을 UI에서 명확히 구분 표시한다</t>
        </is>
      </c>
      <c r="I92" s="153" t="inlineStr">
        <is>
          <t>실제 결제 확정 금액으로 착각되지 않게 financial_status를 반드시 노출</t>
        </is>
      </c>
      <c r="J92" s="153" t="inlineStr">
        <is>
          <t>예상/확정/수동수정 뱃지가 실제로 다르게 표시되는지 확인</t>
        </is>
      </c>
    </row>
    <row r="93" ht="39.75" customHeight="1" s="89">
      <c r="A93" s="151" t="inlineStr">
        <is>
          <t>2026-10-02(금)</t>
        </is>
      </c>
      <c r="B93" s="151" t="inlineStr">
        <is>
          <t>5단계</t>
        </is>
      </c>
      <c r="C93" s="158" t="inlineStr">
        <is>
          <t>코드구현</t>
        </is>
      </c>
      <c r="D93" s="153" t="inlineStr">
        <is>
          <t>정산 리포트</t>
        </is>
      </c>
      <c r="E93" s="153" t="inlineStr">
        <is>
          <t>채널별/숙소별/월별 집계 + financial_status 뱃지 표시</t>
        </is>
      </c>
      <c r="F93" s="155" t="inlineStr">
        <is>
          <t>본인 — Claude Code(터미널 직접실행 권장)</t>
        </is>
      </c>
      <c r="G93" s="154" t="inlineStr">
        <is>
          <t>backend/app/services/settlement.py</t>
        </is>
      </c>
      <c r="H93" s="153" t="inlineStr">
        <is>
          <t>모든 금액이 추정치임을 UI에서 명확히 구분 표시한다</t>
        </is>
      </c>
      <c r="I93" s="154" t="inlineStr">
        <is>
          <t>실제 결제 확정 금액으로 착각되지 않게 financial_status를 반드시 노출</t>
        </is>
      </c>
      <c r="J93" s="153" t="inlineStr">
        <is>
          <t>예상/확정/수동수정 뱃지가 실제로 다르게 표시되는지 확인</t>
        </is>
      </c>
    </row>
    <row r="94" ht="39.75" customHeight="1" s="89">
      <c r="A94" s="151" t="inlineStr">
        <is>
          <t>2026-10-02(금)</t>
        </is>
      </c>
      <c r="B94" s="151" t="inlineStr">
        <is>
          <t>5단계</t>
        </is>
      </c>
      <c r="C94" s="158" t="inlineStr">
        <is>
          <t>설계/콘텐츠</t>
        </is>
      </c>
      <c r="D94" s="153" t="inlineStr">
        <is>
          <t>컴플라이언스</t>
        </is>
      </c>
      <c r="E94" s="153" t="inlineStr">
        <is>
          <t>업종별 킬러요건 1~2개 노출(여권보관/수질검사/소방안전관리자 등)</t>
        </is>
      </c>
      <c r="F94" s="155" t="inlineStr">
        <is>
          <t>본인 — Gemini(검토·콘텐츠보조)</t>
        </is>
      </c>
      <c r="G94" s="154" t="inlineStr">
        <is>
          <t>backend/app/data/checklist_templates.json</t>
        </is>
      </c>
      <c r="H94" s="153" t="inlineStr">
        <is>
          <t>법률판단이 아니라 참고용 체크리스트임을 UI에 명시</t>
        </is>
      </c>
      <c r="I94" s="153" t="inlineStr">
        <is>
          <t>숙박업 유형별 정교한 법률 로직을 만들지 않는다(범위 초과)</t>
        </is>
      </c>
      <c r="J94" s="153" t="inlineStr">
        <is>
          <t>'참고용, 관할 지자체 확인 필요' 문구가 화면에 표시되는지 확인</t>
        </is>
      </c>
    </row>
    <row r="95" ht="39.75" customHeight="1" s="89">
      <c r="A95" s="151" t="inlineStr">
        <is>
          <t>2026-10-02(금)</t>
        </is>
      </c>
      <c r="B95" s="151" t="inlineStr">
        <is>
          <t>5단계</t>
        </is>
      </c>
      <c r="C95" s="158" t="inlineStr">
        <is>
          <t>코드구현</t>
        </is>
      </c>
      <c r="D95" s="153" t="inlineStr">
        <is>
          <t>컴플라이언스</t>
        </is>
      </c>
      <c r="E95" s="153" t="inlineStr">
        <is>
          <t>EVENT_BASED 변경신고 D+30 카운트다운 로직</t>
        </is>
      </c>
      <c r="F95" s="155" t="inlineStr">
        <is>
          <t>본인 — Claude Code(터미널 직접실행 권장)</t>
        </is>
      </c>
      <c r="G95" s="154" t="inlineStr">
        <is>
          <t>backend/app/services/checklist.py</t>
        </is>
      </c>
      <c r="H95" s="154" t="inlineStr">
        <is>
          <t>법률판단이 아니라 참고용 체크리스트임을 UI에 명시</t>
        </is>
      </c>
      <c r="I95" s="153" t="inlineStr">
        <is>
          <t>숙박업 유형별 정교한 법률 로직을 만들지 않는다(범위 초과)</t>
        </is>
      </c>
      <c r="J95" s="153" t="inlineStr">
        <is>
          <t>'참고용, 관할 지자체 확인 필요' 문구가 화면에 표시되는지 확인</t>
        </is>
      </c>
    </row>
    <row r="96" ht="39.75" customHeight="1" s="89">
      <c r="A96" s="151" t="inlineStr">
        <is>
          <t>2026-10-03(토)</t>
        </is>
      </c>
      <c r="B96" s="151" t="inlineStr">
        <is>
          <t>5단계</t>
        </is>
      </c>
      <c r="C96" s="159" t="inlineStr">
        <is>
          <t>코드구현</t>
        </is>
      </c>
      <c r="D96" s="153" t="inlineStr">
        <is>
          <t>동적 가격 책정</t>
        </is>
      </c>
      <c r="E96" s="153" t="inlineStr">
        <is>
          <t>Mock UI '시뮬레이션' 뱃지 통일 적용(가격반영/OTA메시징)</t>
        </is>
      </c>
      <c r="F96" s="155" t="inlineStr">
        <is>
          <t>본인 — Claude Code(터미널 직접실행 권장)</t>
        </is>
      </c>
      <c r="G96" s="154" t="inlineStr">
        <is>
          <t>frontend/src/components/MockBadge.jsx</t>
        </is>
      </c>
      <c r="H96" s="154" t="inlineStr">
        <is>
          <t>AI가 아니라 규칙기반 추천임을 명확히 한다(과대포장 금지)</t>
        </is>
      </c>
      <c r="I96" s="153" t="inlineStr">
        <is>
          <t>가격 실제 반영은 Mock — UI에서 실제 반영된 것처럼 보이지 않게</t>
        </is>
      </c>
      <c r="J96" s="153" t="inlineStr">
        <is>
          <t>추천가와 근거가 함께 표시되는지 확인</t>
        </is>
      </c>
    </row>
    <row r="97" ht="39.75" customHeight="1" s="89">
      <c r="A97" s="151" t="inlineStr">
        <is>
          <t>2026-10-03(토)</t>
        </is>
      </c>
      <c r="B97" s="151" t="inlineStr">
        <is>
          <t>5단계</t>
        </is>
      </c>
      <c r="C97" s="159" t="inlineStr">
        <is>
          <t>설계/콘텐츠</t>
        </is>
      </c>
      <c r="D97" s="153" t="inlineStr">
        <is>
          <t>알림·액션센터</t>
        </is>
      </c>
      <c r="E97" s="154" t="inlineStr">
        <is>
          <t>Action Center 규칙기반 트리거 구현(최종스펙 규칙표 그대로)</t>
        </is>
      </c>
      <c r="F97" s="155" t="inlineStr">
        <is>
          <t>본인 — Gemini(검토·콘텐츠보조)</t>
        </is>
      </c>
      <c r="G97" s="154" t="inlineStr">
        <is>
          <t>backend/app/services/action_center.py</t>
        </is>
      </c>
      <c r="H97" s="154" t="inlineStr">
        <is>
          <t>100% 규칙(시간+상태)기반 — AI가 위험을 판단하는 기능이 절대 아님</t>
        </is>
      </c>
      <c r="I97" s="154" t="inlineStr">
        <is>
          <t>check_in은 DATE라 시간정보가 없음 — checkin_time과 합산해야 'N시간 전' 계산이 실제로 가능(v1.1에서 필드 추가됨)</t>
        </is>
      </c>
      <c r="J97" s="153" t="inlineStr">
        <is>
          <t>규칙표(🔴🟡🟢)대로 정확히 분류되는지 실제 예약데이터로 재현해서 확인</t>
        </is>
      </c>
    </row>
    <row r="98" ht="39.75" customHeight="1" s="89">
      <c r="A98" s="151" t="inlineStr">
        <is>
          <t>2026-10-03(토)</t>
        </is>
      </c>
      <c r="B98" s="151" t="inlineStr">
        <is>
          <t>5단계</t>
        </is>
      </c>
      <c r="C98" s="158" t="inlineStr">
        <is>
          <t>코드구현</t>
        </is>
      </c>
      <c r="D98" s="153" t="inlineStr">
        <is>
          <t>알림·액션센터</t>
        </is>
      </c>
      <c r="E98" s="153" t="inlineStr">
        <is>
          <t>🔴🟡🟢 통합 위젯 대시보드 구현</t>
        </is>
      </c>
      <c r="F98" s="155" t="inlineStr">
        <is>
          <t>본인 — Claude Code(터미널 직접실행 권장)</t>
        </is>
      </c>
      <c r="G98" s="154" t="inlineStr">
        <is>
          <t>frontend/src/pages/Dashboard.tsx</t>
        </is>
      </c>
      <c r="H98" s="154" t="inlineStr">
        <is>
          <t>100% 규칙기반, AI 판단이 절대 개입하지 않는다</t>
        </is>
      </c>
      <c r="I98" s="153" t="inlineStr">
        <is>
          <t>같은 이벤트가 반복돼도 알림이 중복 생성되지 않게 한다</t>
        </is>
      </c>
      <c r="J98" s="153" t="inlineStr">
        <is>
          <t>규칙표대로 🔴🟡🟢이 정확히 분류되는지 확인</t>
        </is>
      </c>
    </row>
    <row r="99" ht="39.75" customHeight="1" s="89">
      <c r="A99" s="151" t="inlineStr">
        <is>
          <t>2026-10-03(토)</t>
        </is>
      </c>
      <c r="B99" s="151" t="inlineStr">
        <is>
          <t>5단계</t>
        </is>
      </c>
      <c r="C99" s="158" t="inlineStr">
        <is>
          <t>코드구현</t>
        </is>
      </c>
      <c r="D99" s="153" t="inlineStr">
        <is>
          <t>알림·액션센터</t>
        </is>
      </c>
      <c r="E99" s="153" t="inlineStr">
        <is>
          <t>각 이벤트 소스 연결(예약·청소·AI승인·서류만료·정산)</t>
        </is>
      </c>
      <c r="F99" s="155" t="inlineStr">
        <is>
          <t>본인 — Claude Code(터미널 직접실행 권장)</t>
        </is>
      </c>
      <c r="G99" s="154" t="inlineStr">
        <is>
          <t>backend/app/services/action_center.py</t>
        </is>
      </c>
      <c r="H99" s="153" t="inlineStr">
        <is>
          <t>자동추정→일괄확인→예외보정 3단계로 수작업을 최소화(엑셀 수기정산과 다르게 만드는 것이 목표)</t>
        </is>
      </c>
      <c r="I99" s="154" t="inlineStr">
        <is>
          <t>iCal에는 결제정보가 없어 모든 금액이 추정치 — financial_status(ESTIMATED/CONFIRMED/MANUALLY_ADJUSTED)로 신뢰도를 반드시 구분표시</t>
        </is>
      </c>
      <c r="J99" s="153" t="inlineStr">
        <is>
          <t>전체 예약 중 예외건(할인적용 등)만 수동수정하고 나머지는 1클릭으로 끝나는지 확인</t>
        </is>
      </c>
    </row>
    <row r="100" ht="39.75" customHeight="1" s="89">
      <c r="A100" s="151" t="inlineStr">
        <is>
          <t>2026-10-05(월)</t>
        </is>
      </c>
      <c r="B100" s="151" t="inlineStr">
        <is>
          <t>5단계</t>
        </is>
      </c>
      <c r="C100" s="158" t="inlineStr">
        <is>
          <t>코드구현</t>
        </is>
      </c>
      <c r="D100" s="153" t="inlineStr">
        <is>
          <t>정산 리포트</t>
        </is>
      </c>
      <c r="E100" s="153" t="inlineStr">
        <is>
          <t>중간 회귀체크포인트2: 4~5단계 진행분 재확인(청소→정산 흐름 재실행)</t>
        </is>
      </c>
      <c r="F100" s="155" t="inlineStr">
        <is>
          <t>본인 — Claude Code(터미널 직접실행 권장)</t>
        </is>
      </c>
      <c r="G100" s="154" t="inlineStr">
        <is>
          <t>backend/tests/test_integration_2.py</t>
        </is>
      </c>
      <c r="H100" s="153" t="inlineStr">
        <is>
          <t>자동추정→일괄확인→예외보정 3단계로 수작업을 최소화(엑셀 수기정산과 다르게 만드는 것이 목표)</t>
        </is>
      </c>
      <c r="I100" s="154" t="inlineStr">
        <is>
          <t>iCal에는 결제정보가 없어 모든 금액이 추정치 — financial_status(ESTIMATED/CONFIRMED/MANUALLY_ADJUSTED)로 신뢰도를 반드시 구분표시</t>
        </is>
      </c>
      <c r="J100" s="153" t="inlineStr">
        <is>
          <t>전체 예약 중 예외건(할인적용 등)만 수동수정하고 나머지는 1클릭으로 끝나는지 확인</t>
        </is>
      </c>
    </row>
    <row r="101" ht="39.75" customHeight="1" s="89">
      <c r="A101" s="151" t="inlineStr">
        <is>
          <t>2026-10-05(월)</t>
        </is>
      </c>
      <c r="B101" s="151" t="inlineStr">
        <is>
          <t>5단계</t>
        </is>
      </c>
      <c r="C101" s="159" t="inlineStr">
        <is>
          <t>코드구현</t>
        </is>
      </c>
      <c r="D101" s="153" t="inlineStr">
        <is>
          <t>동적 가격 책정</t>
        </is>
      </c>
      <c r="E101" s="154" t="inlineStr">
        <is>
          <t>공휴일/지역축제 공공데이터 API 연동 추천가 로직</t>
        </is>
      </c>
      <c r="F101" s="155" t="inlineStr">
        <is>
          <t>본인 — Claude Code(터미널 직접실행 권장)</t>
        </is>
      </c>
      <c r="G101" s="153" t="inlineStr">
        <is>
          <t>backend/app/services/pricing.py</t>
        </is>
      </c>
      <c r="H101" s="154" t="inlineStr">
        <is>
          <t>AI가 아니라 규칙기반 추천임을 명확히 한다(과대포장 금지)</t>
        </is>
      </c>
      <c r="I101" s="153" t="inlineStr">
        <is>
          <t>가격 실제 반영은 Mock — UI에서 실제 반영된 것처럼 보이지 않게</t>
        </is>
      </c>
      <c r="J101" s="153" t="inlineStr">
        <is>
          <t>추천가와 근거가 함께 표시되는지 확인</t>
        </is>
      </c>
    </row>
    <row r="102" ht="39.75" customHeight="1" s="89">
      <c r="A102" s="151" t="inlineStr">
        <is>
          <t>2026-10-05(월)</t>
        </is>
      </c>
      <c r="B102" s="151" t="inlineStr">
        <is>
          <t>5단계</t>
        </is>
      </c>
      <c r="C102" s="158" t="inlineStr">
        <is>
          <t>설계/콘텐츠</t>
        </is>
      </c>
      <c r="D102" s="153" t="inlineStr">
        <is>
          <t>동적 가격 책정</t>
        </is>
      </c>
      <c r="E102" s="153" t="inlineStr">
        <is>
          <t>예약임박도·잔여객실 반영(기존 iCal데이터 활용)</t>
        </is>
      </c>
      <c r="F102" s="155" t="inlineStr">
        <is>
          <t>본인 — Gemini(검토·콘텐츠보조)</t>
        </is>
      </c>
      <c r="G102" s="154" t="inlineStr">
        <is>
          <t>backend/app/services/ical_sync.py</t>
        </is>
      </c>
      <c r="H102" s="153" t="inlineStr">
        <is>
          <t>AI가 아니라 규칙기반 추천임을 명확히 한다(과대포장 금지)</t>
        </is>
      </c>
      <c r="I102" s="153" t="inlineStr">
        <is>
          <t>가격 실제 반영은 Mock — UI에서 실제 반영된 것처럼 보이지 않게</t>
        </is>
      </c>
      <c r="J102" s="153" t="inlineStr">
        <is>
          <t>추천가와 근거가 함께 표시되는지 확인</t>
        </is>
      </c>
    </row>
    <row r="103" ht="39.75" customHeight="1" s="89">
      <c r="A103" s="151" t="inlineStr">
        <is>
          <t>2026-10-05(월)</t>
        </is>
      </c>
      <c r="B103" s="151" t="inlineStr">
        <is>
          <t>5단계</t>
        </is>
      </c>
      <c r="C103" s="158" t="inlineStr">
        <is>
          <t>코드구현</t>
        </is>
      </c>
      <c r="D103" s="153" t="inlineStr">
        <is>
          <t>정산 리포트</t>
        </is>
      </c>
      <c r="E103" s="153" t="inlineStr">
        <is>
          <t>정산·가격 화면에 로딩/에러/빈상태 UI 적용</t>
        </is>
      </c>
      <c r="F103" s="155" t="inlineStr">
        <is>
          <t>본인 — Claude Code(터미널 직접실행 권장)</t>
        </is>
      </c>
      <c r="G103" s="154" t="inlineStr">
        <is>
          <t>frontend/src/components/StateHandler.jsx</t>
        </is>
      </c>
      <c r="H103" s="154" t="inlineStr">
        <is>
          <t>자동추정→일괄확인→예외보정 3단계로 수작업을 최소화(엑셀 수기정산과 다르게 만드는 것이 목표)</t>
        </is>
      </c>
      <c r="I103" s="153" t="inlineStr">
        <is>
          <t>iCal에는 결제정보가 없어 모든 금액이 추정치 — financial_status(ESTIMATED/CONFIRMED/MANUALLY_ADJUSTED)로 신뢰도를 반드시 구분표시</t>
        </is>
      </c>
      <c r="J103" s="153" t="inlineStr">
        <is>
          <t>전체 예약 중 예외건(할인적용 등)만 수동수정하고 나머지는 1클릭으로 끝나는지 확인</t>
        </is>
      </c>
    </row>
    <row r="104" ht="39.75" customHeight="1" s="89">
      <c r="A104" s="151" t="inlineStr">
        <is>
          <t>2026-10-05(월)</t>
        </is>
      </c>
      <c r="B104" s="151" t="inlineStr">
        <is>
          <t>5단계</t>
        </is>
      </c>
      <c r="C104" s="159" t="inlineStr">
        <is>
          <t>코드구현</t>
        </is>
      </c>
      <c r="D104" s="153" t="inlineStr">
        <is>
          <t>동적 가격 책정</t>
        </is>
      </c>
      <c r="E104" s="153" t="inlineStr">
        <is>
          <t>공백일 미세조정+성수기 방치감지 배치로직(평일할인/주말·연휴인상, DB명세서 6절)</t>
        </is>
      </c>
      <c r="F104" s="155" t="inlineStr">
        <is>
          <t>본인 — Claude Code(터미널 직접실행 권장)</t>
        </is>
      </c>
      <c r="G104" s="154" t="inlineStr">
        <is>
          <t>backend/app/services/pricing.py</t>
        </is>
      </c>
      <c r="H104" s="153" t="inlineStr">
        <is>
          <t>실제 운영 페인포인트(3박이상만 받아 화~금이 비는 문제)를 규칙화 — 평일할인/주말·연휴인상 양방향</t>
        </is>
      </c>
      <c r="I104" s="153" t="inlineStr">
        <is>
          <t>연휴·공휴일은 시스템이 임의로 계속 인상하면 안 됨 — 방치감지 후 반드시 호스트 승인 거쳐야 함(100% 자동 금지)</t>
        </is>
      </c>
      <c r="J104" s="154" t="inlineStr">
        <is>
          <t>평일 미예약건은 할인추천, 주말 미예약건은 인상추천이 반대로 나오는지 실데이터로 확인 + 연휴 3일 방치 시 알림만 뜨고 자동조정 안 되는지 확인</t>
        </is>
      </c>
    </row>
    <row r="105" ht="39.75" customHeight="1" s="89">
      <c r="A105" s="151" t="inlineStr">
        <is>
          <t>2026-10-05(월)</t>
        </is>
      </c>
      <c r="B105" s="151" t="inlineStr">
        <is>
          <t>5단계</t>
        </is>
      </c>
      <c r="C105" s="159" t="inlineStr">
        <is>
          <t>코드구현</t>
        </is>
      </c>
      <c r="D105" s="153" t="inlineStr">
        <is>
          <t>동적 가격 책정</t>
        </is>
      </c>
      <c r="E105" s="153" t="inlineStr">
        <is>
          <t>추천가+근거 카드 UI, 승인클릭→Mock반영, 하한가 경고</t>
        </is>
      </c>
      <c r="F105" s="155" t="inlineStr">
        <is>
          <t>본인 — Claude Code(터미널 직접실행 권장)</t>
        </is>
      </c>
      <c r="G105" s="154" t="inlineStr">
        <is>
          <t>backend/app/services/ai_agent.py</t>
        </is>
      </c>
      <c r="H105" s="153" t="inlineStr">
        <is>
          <t>AI가 아니라 규칙기반 추천임을 명확히 한다(과대포장 금지)</t>
        </is>
      </c>
      <c r="I105" s="153" t="inlineStr">
        <is>
          <t>가격 실제 반영은 Mock — UI에서 실제 반영된 것처럼 보이지 않게</t>
        </is>
      </c>
      <c r="J105" s="154" t="inlineStr">
        <is>
          <t>추천가와 근거가 함께 표시되는지 확인</t>
        </is>
      </c>
    </row>
    <row r="106" ht="39.75" customHeight="1" s="89">
      <c r="A106" s="151" t="inlineStr">
        <is>
          <t>2026-10-05(월)</t>
        </is>
      </c>
      <c r="B106" s="151" t="inlineStr">
        <is>
          <t>5단계</t>
        </is>
      </c>
      <c r="C106" s="158" t="inlineStr">
        <is>
          <t>코드구현</t>
        </is>
      </c>
      <c r="D106" s="153" t="inlineStr">
        <is>
          <t>컴플라이언스</t>
        </is>
      </c>
      <c r="E106" s="154" t="inlineStr">
        <is>
          <t>✅ 5단계 검증: 정산 3단계 파이프라인 + 알림센터 트리거 실데이터로 재현</t>
        </is>
      </c>
      <c r="F106" s="155" t="inlineStr">
        <is>
          <t>본인 — Claude Code(터미널 직접실행 권장)</t>
        </is>
      </c>
      <c r="G106" s="154" t="inlineStr">
        <is>
          <t>backend/ 또는 frontend/ (세부 위치는 해당일 착수시 확정)</t>
        </is>
      </c>
      <c r="H106" s="153" t="inlineStr">
        <is>
          <t>자동추정→일괄확인→예외보정 3단계로 수작업을 최소화(엑셀 수기정산과 다르게 만드는 것이 목표)</t>
        </is>
      </c>
      <c r="I106" s="153" t="inlineStr">
        <is>
          <t>iCal에는 결제정보가 없어 모든 금액이 추정치 — financial_status(ESTIMATED/CONFIRMED/MANUALLY_ADJUSTED)로 신뢰도를 반드시 구분표시</t>
        </is>
      </c>
      <c r="J106" s="154" t="inlineStr">
        <is>
          <t>전체 예약 중 예외건(할인적용 등)만 수동수정하고 나머지는 1클릭으로 끝나는지 확인</t>
        </is>
      </c>
    </row>
    <row r="107" ht="39.75" customHeight="1" s="89">
      <c r="A107" s="151" t="inlineStr">
        <is>
          <t>2026-10-06(화)</t>
        </is>
      </c>
      <c r="B107" s="151" t="inlineStr">
        <is>
          <t>6단계</t>
        </is>
      </c>
      <c r="C107" s="158" t="inlineStr">
        <is>
          <t>신규작성</t>
        </is>
      </c>
      <c r="D107" s="153" t="inlineStr">
        <is>
          <t>마무리</t>
        </is>
      </c>
      <c r="E107" s="154" t="inlineStr">
        <is>
          <t>발표 슬라이드 초안 작성(구성·화면 캡처·AI Agent Loop 다이어그램)</t>
        </is>
      </c>
      <c r="F107" s="155" t="inlineStr">
        <is>
          <t>본인 — Gemini(검토·콘텐츠보조)</t>
        </is>
      </c>
      <c r="G107" s="154" t="inlineStr">
        <is>
          <t>발표자료(PPTX)</t>
        </is>
      </c>
      <c r="H107" s="153" t="n"/>
      <c r="I107" s="154" t="n"/>
      <c r="J107" s="153" t="n"/>
    </row>
    <row r="108" ht="39.75" customHeight="1" s="89">
      <c r="A108" s="151" t="inlineStr">
        <is>
          <t>2026-10-06(화)</t>
        </is>
      </c>
      <c r="B108" s="151" t="inlineStr">
        <is>
          <t>6단계</t>
        </is>
      </c>
      <c r="C108" s="159" t="inlineStr">
        <is>
          <t>신규작성</t>
        </is>
      </c>
      <c r="D108" s="153" t="inlineStr">
        <is>
          <t>마무리</t>
        </is>
      </c>
      <c r="E108" s="153" t="inlineStr">
        <is>
          <t>제출용 설명문서 최종본 정리(9/3 기획서 확장판: 배경/주제/기술스택/아키텍처/사용법)</t>
        </is>
      </c>
      <c r="F108" s="155" t="inlineStr">
        <is>
          <t>본인 — Gemini(검토·콘텐츠보조)</t>
        </is>
      </c>
      <c r="G108" s="154" t="inlineStr">
        <is>
          <t>docs/project_plan_draft.md (신규생성)</t>
        </is>
      </c>
      <c r="H108" s="154" t="inlineStr">
        <is>
          <t>Feature Freeze 이후에는 로직 변경 없이 텍스트·설정만 수정</t>
        </is>
      </c>
      <c r="I108" s="153" t="inlineStr">
        <is>
          <t>제출 직전 급하게 뭔가 더 고치려는 유혹을 참는다</t>
        </is>
      </c>
      <c r="J108" s="153" t="inlineStr">
        <is>
          <t>최종 산출물(배포본/영상/문서)을 처음부터 끝까지 직접 재생·재확인</t>
        </is>
      </c>
    </row>
    <row r="109" ht="39.75" customHeight="1" s="89">
      <c r="A109" s="151" t="inlineStr">
        <is>
          <t>2026-10-07(수)</t>
        </is>
      </c>
      <c r="B109" s="151" t="inlineStr">
        <is>
          <t>6단계</t>
        </is>
      </c>
      <c r="C109" s="158" t="inlineStr">
        <is>
          <t>설계/콘텐츠</t>
        </is>
      </c>
      <c r="D109" s="153" t="inlineStr">
        <is>
          <t>마무리</t>
        </is>
      </c>
      <c r="E109" s="153" t="inlineStr">
        <is>
          <t>Clipchamp 10분 더미 영상 내보내기 테스트</t>
        </is>
      </c>
      <c r="F109" s="155" t="inlineStr">
        <is>
          <t>본인 — Gemini(검토·콘텐츠보조)</t>
        </is>
      </c>
      <c r="G109" s="154" t="inlineStr">
        <is>
          <t>외부(Clipchamp)</t>
        </is>
      </c>
      <c r="H109" s="153" t="inlineStr">
        <is>
          <t>Feature Freeze 이후에는 로직 변경 없이 텍스트·설정만 수정</t>
        </is>
      </c>
      <c r="I109" s="154" t="inlineStr">
        <is>
          <t>제출 직전 급하게 뭔가 더 고치려는 유혹을 참는다</t>
        </is>
      </c>
      <c r="J109" s="153" t="inlineStr">
        <is>
          <t>최종 산출물(배포본/영상/문서)을 처음부터 끝까지 직접 재생·재확인</t>
        </is>
      </c>
    </row>
    <row r="110" ht="39.75" customHeight="1" s="89">
      <c r="A110" s="151" t="inlineStr">
        <is>
          <t>2026-10-07(수)</t>
        </is>
      </c>
      <c r="B110" s="151" t="inlineStr">
        <is>
          <t>6단계</t>
        </is>
      </c>
      <c r="C110" s="158" t="inlineStr">
        <is>
          <t>설계/콘텐츠</t>
        </is>
      </c>
      <c r="D110" s="153" t="inlineStr">
        <is>
          <t>마무리</t>
        </is>
      </c>
      <c r="E110" s="153" t="inlineStr">
        <is>
          <t>영상 대본/콘티 초안 작성(화면 흐름·나레이션 포인트 먼저 잡기, 최종 코드 완성 전에도 가능)</t>
        </is>
      </c>
      <c r="F110" s="155" t="inlineStr">
        <is>
          <t>본인 — Gemini(검토·콘텐츠보조)</t>
        </is>
      </c>
      <c r="G110" s="154" t="inlineStr">
        <is>
          <t>docs/video_script.md</t>
        </is>
      </c>
      <c r="H110" s="153" t="inlineStr">
        <is>
          <t>Feature Freeze 이후에는 로직 변경 없이 텍스트·설정만 수정</t>
        </is>
      </c>
      <c r="I110" s="153" t="inlineStr">
        <is>
          <t>제출 직전 급하게 뭔가 더 고치려는 유혹을 참는다</t>
        </is>
      </c>
      <c r="J110" s="153" t="inlineStr">
        <is>
          <t>최종 산출물(배포본/영상/문서)을 처음부터 끝까지 직접 재생·재확인</t>
        </is>
      </c>
    </row>
    <row r="111" ht="39.75" customHeight="1" s="89">
      <c r="A111" s="151" t="inlineStr">
        <is>
          <t>2026-10-08(목)</t>
        </is>
      </c>
      <c r="B111" s="151" t="inlineStr">
        <is>
          <t>5.5단계</t>
        </is>
      </c>
      <c r="C111" s="158" t="inlineStr">
        <is>
          <t>코드구현</t>
        </is>
      </c>
      <c r="D111" s="153" t="inlineStr">
        <is>
          <t>통합QA·보안</t>
        </is>
      </c>
      <c r="E111" s="153" t="inlineStr">
        <is>
          <t>전체 기능 회귀테스트(예약→청소→AI→정산→알림 전체 플로우 1회 통관)</t>
        </is>
      </c>
      <c r="F111" s="155" t="inlineStr">
        <is>
          <t>본인 — Claude Code(터미널 직접실행 권장)</t>
        </is>
      </c>
      <c r="G111" s="154" t="inlineStr">
        <is>
          <t>backend/tests/test_full_flow.py</t>
        </is>
      </c>
      <c r="H111" s="153" t="inlineStr">
        <is>
          <t>자동추정→일괄확인→예외보정 3단계로 수작업을 최소화(엑셀 수기정산과 다르게 만드는 것이 목표)</t>
        </is>
      </c>
      <c r="I111" s="153" t="inlineStr">
        <is>
          <t>iCal에는 결제정보가 없어 모든 금액이 추정치 — financial_status(ESTIMATED/CONFIRMED/MANUALLY_ADJUSTED)로 신뢰도를 반드시 구분표시</t>
        </is>
      </c>
      <c r="J111" s="153" t="inlineStr">
        <is>
          <t>전체 예약 중 예외건(할인적용 등)만 수동수정하고 나머지는 1클릭으로 끝나는지 확인</t>
        </is>
      </c>
    </row>
    <row r="112" ht="39.75" customHeight="1" s="89">
      <c r="A112" s="151" t="inlineStr">
        <is>
          <t>2026-10-08(목)</t>
        </is>
      </c>
      <c r="B112" s="151" t="inlineStr">
        <is>
          <t>5.5단계</t>
        </is>
      </c>
      <c r="C112" s="158" t="inlineStr">
        <is>
          <t>코드구현</t>
        </is>
      </c>
      <c r="D112" s="153" t="inlineStr">
        <is>
          <t>통합QA·보안</t>
        </is>
      </c>
      <c r="E112" s="154" t="inlineStr">
        <is>
          <t>예외케이스 전수점검(중복예약/취소/환불/iCal실패/LLM실패/DB실패 에러UI 확인)</t>
        </is>
      </c>
      <c r="F112" s="155" t="inlineStr">
        <is>
          <t>본인 — Claude Code(터미널 직접실행 권장)</t>
        </is>
      </c>
      <c r="G112" s="154" t="inlineStr">
        <is>
          <t>backend/app/services/ical_sync.py</t>
        </is>
      </c>
      <c r="H112" s="154" t="inlineStr">
        <is>
          <t>배포 전 마지막 방어선 — 여기서 놓치면 발표 중 사고로 직결</t>
        </is>
      </c>
      <c r="I112" s="153" t="inlineStr">
        <is>
          <t>체크리스트 일부만 하지 말고 전체 시나리오를 빠짐없이 재현</t>
        </is>
      </c>
      <c r="J112" s="153" t="inlineStr">
        <is>
          <t>각 항목을 실제로 테스트해보고 결과를 기록</t>
        </is>
      </c>
    </row>
    <row r="113" ht="39.75" customHeight="1" s="89">
      <c r="A113" s="151" t="inlineStr">
        <is>
          <t>2026-10-08(목)</t>
        </is>
      </c>
      <c r="B113" s="151" t="inlineStr">
        <is>
          <t>5.5단계</t>
        </is>
      </c>
      <c r="C113" s="159" t="inlineStr">
        <is>
          <t>코드구현</t>
        </is>
      </c>
      <c r="D113" s="153" t="inlineStr">
        <is>
          <t>통합QA·보안</t>
        </is>
      </c>
      <c r="E113" s="154" t="inlineStr">
        <is>
          <t>보안점검: 비밀번호 해시 확인, .env/GitHub secret 노출여부 검색</t>
        </is>
      </c>
      <c r="F113" s="155" t="inlineStr">
        <is>
          <t>본인 — Claude Code(터미널 직접실행 권장)</t>
        </is>
      </c>
      <c r="G113" s="154" t="inlineStr">
        <is>
          <t>backend/app/core/security.py</t>
        </is>
      </c>
      <c r="H113" s="153" t="inlineStr">
        <is>
          <t>배포 전 마지막 방어선 — 여기서 놓치면 발표 중 사고로 직결</t>
        </is>
      </c>
      <c r="I113" s="153" t="inlineStr">
        <is>
          <t>체크리스트 일부만 하지 말고 전체 시나리오를 빠짐없이 재현</t>
        </is>
      </c>
      <c r="J113" s="153" t="inlineStr">
        <is>
          <t>각 항목을 실제로 테스트해보고 결과를 기록</t>
        </is>
      </c>
    </row>
    <row r="114" ht="39.75" customHeight="1" s="89">
      <c r="A114" s="151" t="inlineStr">
        <is>
          <t>2026-10-08(목)</t>
        </is>
      </c>
      <c r="B114" s="151" t="inlineStr">
        <is>
          <t>5.5단계</t>
        </is>
      </c>
      <c r="C114" s="158" t="inlineStr">
        <is>
          <t>코드구현</t>
        </is>
      </c>
      <c r="D114" s="153" t="inlineStr">
        <is>
          <t>통합QA·보안</t>
        </is>
      </c>
      <c r="E114" s="154" t="inlineStr">
        <is>
          <t>Real/Mock UI 라벨 전수 확인(스마트락/가격반영/OTA메시징 '시뮬레이션' 표시)</t>
        </is>
      </c>
      <c r="F114" s="155" t="inlineStr">
        <is>
          <t>본인 — Claude Code(터미널 직접실행 권장)</t>
        </is>
      </c>
      <c r="G114" s="153" t="inlineStr">
        <is>
          <t>backend/app/services/doorlock_mock.py</t>
        </is>
      </c>
      <c r="H114" s="154" t="inlineStr">
        <is>
          <t>1개도 실연동 시도하지 않고 개발 착수부터 100% Mock으로 확정(시간 확보)</t>
        </is>
      </c>
      <c r="I114" s="153" t="inlineStr">
        <is>
          <t>화면에 '시뮬레이션'임을 명확히 표시해야 함 — 실제 연동처럼 보이면 심사 시 오해 소지</t>
        </is>
      </c>
      <c r="J114" s="153" t="inlineStr">
        <is>
          <t>화면에 Mock 뱃지가 육안으로 확인되는지</t>
        </is>
      </c>
    </row>
    <row r="115" ht="39.75" customHeight="1" s="89">
      <c r="A115" s="151" t="inlineStr">
        <is>
          <t>2026-10-08(목)</t>
        </is>
      </c>
      <c r="B115" s="151" t="inlineStr">
        <is>
          <t>5.5단계</t>
        </is>
      </c>
      <c r="C115" s="156" t="inlineStr">
        <is>
          <t>설계/콘텐츠</t>
        </is>
      </c>
      <c r="D115" s="153" t="inlineStr">
        <is>
          <t>통합QA·보안</t>
        </is>
      </c>
      <c r="E115" s="153" t="inlineStr">
        <is>
          <t>README.md 작성(소개/아키텍처/스택/설치법/환경변수/Demo계정/Real·Mock범위)</t>
        </is>
      </c>
      <c r="F115" s="155" t="inlineStr">
        <is>
          <t>본인 — Gemini(검토·콘텐츠보조)</t>
        </is>
      </c>
      <c r="G115" s="154" t="inlineStr">
        <is>
          <t>README.md</t>
        </is>
      </c>
      <c r="H115" s="154" t="inlineStr">
        <is>
          <t>배포 전 마지막 방어선 — 여기서 놓치면 발표 중 사고로 직결</t>
        </is>
      </c>
      <c r="I115" s="153" t="inlineStr">
        <is>
          <t>체크리스트 일부만 하지 말고 전체 시나리오를 빠짐없이 재현</t>
        </is>
      </c>
      <c r="J115" s="153" t="inlineStr">
        <is>
          <t>각 항목을 실제로 테스트해보고 결과를 기록</t>
        </is>
      </c>
    </row>
    <row r="116" ht="39.75" customHeight="1" s="89">
      <c r="A116" s="151" t="inlineStr">
        <is>
          <t>2026-10-08(목)</t>
        </is>
      </c>
      <c r="B116" s="151" t="inlineStr">
        <is>
          <t>6단계</t>
        </is>
      </c>
      <c r="C116" s="158" t="inlineStr">
        <is>
          <t>코드구현</t>
        </is>
      </c>
      <c r="D116" s="153" t="inlineStr">
        <is>
          <t>마무리</t>
        </is>
      </c>
      <c r="E116" s="154" t="inlineStr">
        <is>
          <t>GitHub 저장소 최종정리 + 프로덕션 배포 전환(스테이징→정식)+CORS 최종확인</t>
        </is>
      </c>
      <c r="F116" s="155" t="inlineStr">
        <is>
          <t>본인 — Claude Code(터미널 직접실행 권장)</t>
        </is>
      </c>
      <c r="G116" s="154" t="inlineStr">
        <is>
          <t>전체 저장소</t>
        </is>
      </c>
      <c r="H116" s="153" t="inlineStr">
        <is>
          <t>Feature Freeze 이후에는 로직 변경 없이 텍스트·설정만 수정</t>
        </is>
      </c>
      <c r="I116" s="153" t="inlineStr">
        <is>
          <t>제출 직전 급하게 뭔가 더 고치려는 유혹을 참는다</t>
        </is>
      </c>
      <c r="J116" s="153" t="inlineStr">
        <is>
          <t>최종 산출물(배포본/영상/문서)을 처음부터 끝까지 직접 재생·재확인</t>
        </is>
      </c>
    </row>
    <row r="117" ht="39.75" customHeight="1" s="89">
      <c r="A117" s="151" t="inlineStr">
        <is>
          <t>2026-10-09(금)</t>
        </is>
      </c>
      <c r="B117" s="151" t="inlineStr">
        <is>
          <t>5.5단계</t>
        </is>
      </c>
      <c r="C117" s="158" t="inlineStr">
        <is>
          <t>코드구현</t>
        </is>
      </c>
      <c r="D117" s="153" t="inlineStr">
        <is>
          <t>통합QA·보안</t>
        </is>
      </c>
      <c r="E117" s="154" t="inlineStr">
        <is>
          <t>1920x1080 데스크톱+Chrome 기준 화면 확인</t>
        </is>
      </c>
      <c r="F117" s="155" t="inlineStr">
        <is>
          <t>본인 — Claude Code(터미널 직접실행 권장)</t>
        </is>
      </c>
      <c r="G117" s="154" t="inlineStr">
        <is>
          <t>frontend/ (브라우저 확인, 파일아님)</t>
        </is>
      </c>
      <c r="H117" s="154" t="inlineStr">
        <is>
          <t>배포 전 마지막 방어선 — 여기서 놓치면 발표 중 사고로 직결</t>
        </is>
      </c>
      <c r="I117" s="153" t="inlineStr">
        <is>
          <t>체크리스트 일부만 하지 말고 전체 시나리오를 빠짐없이 재현</t>
        </is>
      </c>
      <c r="J117" s="153" t="inlineStr">
        <is>
          <t>각 항목을 실제로 테스트해보고 결과를 기록</t>
        </is>
      </c>
    </row>
    <row r="118" ht="39.75" customHeight="1" s="89">
      <c r="A118" s="151" t="inlineStr">
        <is>
          <t>2026-10-09(금)</t>
        </is>
      </c>
      <c r="B118" s="151" t="inlineStr">
        <is>
          <t>6단계</t>
        </is>
      </c>
      <c r="C118" s="158" t="inlineStr">
        <is>
          <t>코드구현</t>
        </is>
      </c>
      <c r="D118" s="153" t="inlineStr">
        <is>
          <t>마무리</t>
        </is>
      </c>
      <c r="E118" s="153" t="inlineStr">
        <is>
          <t>Mock/Real 표현 최종점검 + '숙소운영특화 AI Agent' 표현 일관성 점검</t>
        </is>
      </c>
      <c r="F118" s="155" t="inlineStr">
        <is>
          <t>본인 — Claude Code(터미널 직접실행 권장)</t>
        </is>
      </c>
      <c r="G118" s="154" t="inlineStr">
        <is>
          <t>frontend/src/ (전체 텍스트 검수)</t>
        </is>
      </c>
      <c r="H118" s="154" t="inlineStr">
        <is>
          <t>Feature Freeze 이후에는 로직 변경 없이 텍스트·설정만 수정</t>
        </is>
      </c>
      <c r="I118" s="153" t="inlineStr">
        <is>
          <t>제출 직전 급하게 뭔가 더 고치려는 유혹을 참는다</t>
        </is>
      </c>
      <c r="J118" s="153" t="inlineStr">
        <is>
          <t>최종 산출물(배포본/영상/문서)을 처음부터 끝까지 직접 재생·재확인</t>
        </is>
      </c>
    </row>
    <row r="119" ht="39.75" customHeight="1" s="89">
      <c r="A119" s="151" t="inlineStr">
        <is>
          <t>2026-10-09(금)</t>
        </is>
      </c>
      <c r="B119" s="151" t="inlineStr">
        <is>
          <t>6단계</t>
        </is>
      </c>
      <c r="C119" s="158" t="inlineStr">
        <is>
          <t>문서확인</t>
        </is>
      </c>
      <c r="D119" s="153" t="inlineStr">
        <is>
          <t>마무리</t>
        </is>
      </c>
      <c r="E119" s="153" t="inlineStr">
        <is>
          <t>발표 슬라이드 최종본 확정(AI Agent Loop 다이어그램 포함)</t>
        </is>
      </c>
      <c r="F119" s="155" t="inlineStr">
        <is>
          <t>본인 직접(콘텐츠 확인/검토, 코드작업 아님)</t>
        </is>
      </c>
      <c r="G119" s="154" t="inlineStr">
        <is>
          <t>docs/presentation.pptx (외부)</t>
        </is>
      </c>
      <c r="H119" s="154" t="inlineStr">
        <is>
          <t>Feature Freeze 이후에는 로직 변경 없이 텍스트·설정만 수정</t>
        </is>
      </c>
      <c r="I119" s="153" t="inlineStr">
        <is>
          <t>제출 직전 급하게 뭔가 더 고치려는 유혹을 참는다</t>
        </is>
      </c>
      <c r="J119" s="153" t="inlineStr">
        <is>
          <t>최종 산출물(배포본/영상/문서)을 처음부터 끝까지 직접 재생·재확인</t>
        </is>
      </c>
    </row>
    <row r="120" ht="39.75" customHeight="1" s="89">
      <c r="A120" s="151" t="inlineStr">
        <is>
          <t>2026-10-09(금)</t>
        </is>
      </c>
      <c r="B120" s="151" t="inlineStr">
        <is>
          <t>6단계</t>
        </is>
      </c>
      <c r="C120" s="159" t="inlineStr">
        <is>
          <t>문서확인</t>
        </is>
      </c>
      <c r="D120" s="153" t="inlineStr">
        <is>
          <t>마무리</t>
        </is>
      </c>
      <c r="E120" s="154" t="inlineStr">
        <is>
          <t>영상 대본/콘티 최종본 확정(10/7 초안 기반, 실제 화면 캡처 반영)</t>
        </is>
      </c>
      <c r="F120" s="155" t="inlineStr">
        <is>
          <t>본인 직접(콘텐츠 확인/검토, 코드작업 아님)</t>
        </is>
      </c>
      <c r="G120" s="153" t="inlineStr">
        <is>
          <t>docs/video_script.md</t>
        </is>
      </c>
      <c r="H120" s="154" t="inlineStr">
        <is>
          <t>Feature Freeze 이후에는 로직 변경 없이 텍스트·설정만 수정</t>
        </is>
      </c>
      <c r="I120" s="153" t="inlineStr">
        <is>
          <t>제출 직전 급하게 뭔가 더 고치려는 유혹을 참는다</t>
        </is>
      </c>
      <c r="J120" s="153" t="inlineStr">
        <is>
          <t>최종 산출물(배포본/영상/문서)을 처음부터 끝까지 직접 재생·재확인</t>
        </is>
      </c>
    </row>
    <row r="121" ht="39.75" customHeight="1" s="89">
      <c r="A121" s="151" t="inlineStr">
        <is>
          <t>2026-10-09(금)</t>
        </is>
      </c>
      <c r="B121" s="151" t="inlineStr">
        <is>
          <t>6단계</t>
        </is>
      </c>
      <c r="C121" s="158" t="inlineStr">
        <is>
          <t>설계/콘텐츠</t>
        </is>
      </c>
      <c r="D121" s="153" t="inlineStr">
        <is>
          <t>마무리</t>
        </is>
      </c>
      <c r="E121" s="153" t="inlineStr">
        <is>
          <t>[야간] 화면 녹화 + 음성 나레이션 녹음</t>
        </is>
      </c>
      <c r="F121" s="155" t="inlineStr">
        <is>
          <t>본인 — Gemini(검토·콘텐츠보조)</t>
        </is>
      </c>
      <c r="G121" s="153" t="inlineStr">
        <is>
          <t>외부(녹화 소프트웨어)</t>
        </is>
      </c>
      <c r="H121" s="154" t="inlineStr">
        <is>
          <t>Feature Freeze 이후에는 로직 변경 없이 텍스트·설정만 수정</t>
        </is>
      </c>
      <c r="I121" s="153" t="inlineStr">
        <is>
          <t>제출 직전 급하게 뭔가 더 고치려는 유혹을 참는다</t>
        </is>
      </c>
      <c r="J121" s="153" t="inlineStr">
        <is>
          <t>최종 산출물(배포본/영상/문서)을 처음부터 끝까지 직접 재생·재확인</t>
        </is>
      </c>
    </row>
    <row r="122" ht="39.75" customHeight="1" s="89">
      <c r="A122" s="151" t="inlineStr">
        <is>
          <t>2026-10-10(토)</t>
        </is>
      </c>
      <c r="B122" s="151" t="inlineStr">
        <is>
          <t>6단계</t>
        </is>
      </c>
      <c r="C122" s="159" t="inlineStr">
        <is>
          <t>문서확인</t>
        </is>
      </c>
      <c r="D122" s="153" t="inlineStr">
        <is>
          <t>마무리</t>
        </is>
      </c>
      <c r="E122" s="154" t="inlineStr">
        <is>
          <t>아침 검토: 전날 녹화분 확인, 재촬영 필요분 파악</t>
        </is>
      </c>
      <c r="F122" s="155" t="inlineStr">
        <is>
          <t>본인 직접(콘텐츠 확인/검토, 코드작업 아님)</t>
        </is>
      </c>
      <c r="G122" s="153" t="inlineStr">
        <is>
          <t>외부(전날 녹화된 영상 파일 직접 재생·확인)</t>
        </is>
      </c>
      <c r="H122" s="153" t="inlineStr">
        <is>
          <t>Feature Freeze 이후에는 로직 변경 없이 텍스트·설정만 수정</t>
        </is>
      </c>
      <c r="I122" s="153" t="inlineStr">
        <is>
          <t>제출 직전 급하게 뭔가 더 고치려는 유혹을 참는다</t>
        </is>
      </c>
      <c r="J122" s="153" t="inlineStr">
        <is>
          <t>최종 산출물(배포본/영상/문서)을 처음부터 끝까지 직접 재생·재확인</t>
        </is>
      </c>
    </row>
    <row r="123" ht="39.75" customHeight="1" s="89">
      <c r="A123" s="151" t="inlineStr">
        <is>
          <t>2026-10-10(토)</t>
        </is>
      </c>
      <c r="B123" s="151" t="inlineStr">
        <is>
          <t>6단계</t>
        </is>
      </c>
      <c r="C123" s="158" t="inlineStr">
        <is>
          <t>설계/콘텐츠</t>
        </is>
      </c>
      <c r="D123" s="153" t="inlineStr">
        <is>
          <t>마무리</t>
        </is>
      </c>
      <c r="E123" s="153" t="inlineStr">
        <is>
          <t>[야간] 영상 편집(컷/자막/전환) + 렌더링</t>
        </is>
      </c>
      <c r="F123" s="155" t="inlineStr">
        <is>
          <t>본인 — Gemini(검토·콘텐츠보조)</t>
        </is>
      </c>
      <c r="G123" s="153" t="inlineStr">
        <is>
          <t>외부(편집 소프트웨어)</t>
        </is>
      </c>
      <c r="H123" s="154" t="inlineStr">
        <is>
          <t>녹화 시점의 코드를 버전 태그로 고정해서 '보여준 화면=제출 코드' 일치를 보장</t>
        </is>
      </c>
      <c r="I123" s="153" t="inlineStr">
        <is>
          <t>녹화 후에 코드를 더 고치고 싶은 충동을 참을 것(버전 불일치 위험)</t>
        </is>
      </c>
      <c r="J123" s="153" t="inlineStr">
        <is>
          <t>최종 mp4를 다른 플레이어·다른 브라우저에서도 정상 재생되는지 확인</t>
        </is>
      </c>
    </row>
    <row r="124" ht="39.75" customHeight="1" s="89">
      <c r="A124" s="151" t="inlineStr">
        <is>
          <t>2026-10-10(토)</t>
        </is>
      </c>
      <c r="B124" s="151" t="inlineStr">
        <is>
          <t>6단계</t>
        </is>
      </c>
      <c r="C124" s="158" t="inlineStr">
        <is>
          <t>코드구현</t>
        </is>
      </c>
      <c r="D124" s="153" t="inlineStr">
        <is>
          <t>마무리</t>
        </is>
      </c>
      <c r="E124" s="153" t="inlineStr">
        <is>
          <t>최종 포맷/용량 확인 + 백업본 준비 + 최종 제출</t>
        </is>
      </c>
      <c r="F124" s="155" t="inlineStr">
        <is>
          <t>본인 — Claude Code(터미널 직접실행 권장)</t>
        </is>
      </c>
      <c r="G124" s="153" t="inlineStr">
        <is>
          <t>제출플랫폼(외부)</t>
        </is>
      </c>
      <c r="H124" s="154" t="inlineStr">
        <is>
          <t>Feature Freeze 이후에는 로직 변경 없이 텍스트·설정만 수정</t>
        </is>
      </c>
      <c r="I124" s="153" t="inlineStr">
        <is>
          <t>제출 직전 급하게 뭔가 더 고치려는 유혹을 참는다</t>
        </is>
      </c>
      <c r="J124" s="153" t="inlineStr">
        <is>
          <t>최종 산출물(배포본/영상/문서)을 처음부터 끝까지 직접 재생·재확인</t>
        </is>
      </c>
    </row>
    <row r="125" ht="39.75" customHeight="1" s="89">
      <c r="A125" s="151" t="inlineStr">
        <is>
          <t>2026-10-10(토)</t>
        </is>
      </c>
      <c r="B125" s="151" t="inlineStr">
        <is>
          <t>6단계</t>
        </is>
      </c>
      <c r="C125" s="158" t="inlineStr">
        <is>
          <t>코드구현</t>
        </is>
      </c>
      <c r="D125" s="153" t="inlineStr">
        <is>
          <t>마무리</t>
        </is>
      </c>
      <c r="E125" s="153" t="inlineStr">
        <is>
          <t>✅ 설명문서 + 소스코드(ZIP) PBT 제출(외부마감 10/10)</t>
        </is>
      </c>
      <c r="F125" s="155" t="inlineStr">
        <is>
          <t>본인 — Claude Code(터미널 직접실행 권장)</t>
        </is>
      </c>
      <c r="G125" s="154" t="inlineStr">
        <is>
          <t>제출플랫폼(외부)</t>
        </is>
      </c>
      <c r="H125" s="153" t="inlineStr">
        <is>
          <t>Feature Freeze 이후에는 로직 변경 없이 텍스트·설정만 수정</t>
        </is>
      </c>
      <c r="I125" s="153" t="inlineStr">
        <is>
          <t>제출 직전 급하게 뭔가 더 고치려는 유혹을 참는다</t>
        </is>
      </c>
      <c r="J125" s="153" t="inlineStr">
        <is>
          <t>최종 산출물(배포본/영상/문서)을 처음부터 끝까지 직접 재생·재확인</t>
        </is>
      </c>
    </row>
    <row r="126" ht="39.75" customHeight="1" s="89">
      <c r="A126" s="151" t="inlineStr">
        <is>
          <t>2026-10-10(토)</t>
        </is>
      </c>
      <c r="B126" s="151" t="inlineStr">
        <is>
          <t>6단계</t>
        </is>
      </c>
      <c r="C126" s="158" t="inlineStr">
        <is>
          <t>코드구현</t>
        </is>
      </c>
      <c r="D126" s="153" t="inlineStr">
        <is>
          <t>마무리</t>
        </is>
      </c>
      <c r="E126" s="154" t="inlineStr">
        <is>
          <t>소스코드 ZIP 생성(node_modules·.env·__pycache__ 제외 확인)</t>
        </is>
      </c>
      <c r="F126" s="155" t="inlineStr">
        <is>
          <t>본인 — Claude Code(터미널 직접실행 권장)</t>
        </is>
      </c>
      <c r="G126" s="154" t="inlineStr">
        <is>
          <t>전체 저장소</t>
        </is>
      </c>
      <c r="H126" s="153" t="inlineStr">
        <is>
          <t>Feature Freeze 이후에는 로직 변경 없이 텍스트·설정만 수정</t>
        </is>
      </c>
      <c r="I126" s="154" t="inlineStr">
        <is>
          <t>제출 직전 급하게 뭔가 더 고치려는 유혹을 참는다</t>
        </is>
      </c>
      <c r="J126" s="153" t="inlineStr">
        <is>
          <t>최종 산출물(배포본/영상/문서)을 처음부터 끝까지 직접 재생·재확인</t>
        </is>
      </c>
    </row>
    <row r="127" ht="39.75" customHeight="1" s="89">
      <c r="A127" s="151" t="inlineStr">
        <is>
          <t>2026-10-11(일)</t>
        </is>
      </c>
      <c r="B127" s="151" t="inlineStr">
        <is>
          <t>6.5단계</t>
        </is>
      </c>
      <c r="C127" s="158" t="inlineStr">
        <is>
          <t>코드구현</t>
        </is>
      </c>
      <c r="D127" s="153" t="inlineStr">
        <is>
          <t>최종 데모검증</t>
        </is>
      </c>
      <c r="E127" s="153" t="inlineStr">
        <is>
          <t>데모 데이터 시드 재실행(DB 초기화+골든패스 데이터 재세팅)</t>
        </is>
      </c>
      <c r="F127" s="155" t="inlineStr">
        <is>
          <t>본인 — Claude Code(터미널 직접실행 권장)</t>
        </is>
      </c>
      <c r="G127" s="154" t="inlineStr">
        <is>
          <t>backend/scripts/seed_demo.py</t>
        </is>
      </c>
      <c r="H127" s="153" t="inlineStr">
        <is>
          <t>발표 당일 사고 예방이 유일한 목적</t>
        </is>
      </c>
      <c r="I127" s="153" t="inlineStr">
        <is>
          <t>시연 직전 반드시 실제 환경에서 리허설한다(로컬 테스트만으로 안심 금지)</t>
        </is>
      </c>
      <c r="J127" s="153" t="inlineStr">
        <is>
          <t>처음부터 끝까지 실제로 클릭해보며 끊기는 지점이 없는지 확인</t>
        </is>
      </c>
    </row>
    <row r="128" ht="39.75" customHeight="1" s="89">
      <c r="A128" s="151" t="inlineStr">
        <is>
          <t>2026-10-11(일)</t>
        </is>
      </c>
      <c r="B128" s="151" t="inlineStr">
        <is>
          <t>6.5단계</t>
        </is>
      </c>
      <c r="C128" s="158" t="inlineStr">
        <is>
          <t>코드구현</t>
        </is>
      </c>
      <c r="D128" s="153" t="inlineStr">
        <is>
          <t>최종 데모검증</t>
        </is>
      </c>
      <c r="E128" s="154" t="inlineStr">
        <is>
          <t>E2E 데모 시나리오 리허설(로그인→대시보드→액션센터→예약확인→AI문의→승인→청소→정산 1회 실행)</t>
        </is>
      </c>
      <c r="F128" s="155" t="inlineStr">
        <is>
          <t>본인 — Claude Code(터미널 직접실행 권장)</t>
        </is>
      </c>
      <c r="G128" s="154" t="inlineStr">
        <is>
          <t>docs/demo_scenario.md</t>
        </is>
      </c>
      <c r="H128" s="153" t="inlineStr">
        <is>
          <t>발표 전 마지막 통관 테스트 — 로그인부터 정산까지 실제로 끊기는 지점이 있는지 확인하는 것이 유일한 목적</t>
        </is>
      </c>
      <c r="I128" s="153" t="inlineStr">
        <is>
          <t>로컬 개발환경이 아니라 실제 배포된(Supabase 연결) 환경에서 리허설해야 의미가 있다 — 로컬에서만 통과하고 배포환경에서 다르게 동작할 위험을 놓치면 발표 당일 사고로 이어진다</t>
        </is>
      </c>
      <c r="J128" s="153" t="inlineStr">
        <is>
          <t>로그인→대시보드→액션센터→예약확인→AI문의→승인→청소→정산까지 끊김없이 1회 실행, 발표영상 실제 재생 확인 포함(음성·화면 끝까지 끊김없이 재생되는지)</t>
        </is>
      </c>
    </row>
    <row r="129">
      <c r="A129" s="88" t="inlineStr">
        <is>
          <t>2026-10-11(일)</t>
        </is>
      </c>
      <c r="B129" s="88" t="inlineStr">
        <is>
          <t>6.5단계</t>
        </is>
      </c>
      <c r="C129" s="88" t="inlineStr">
        <is>
          <t>신규작성</t>
        </is>
      </c>
      <c r="D129" s="88" t="inlineStr">
        <is>
          <t>최종 데모검증</t>
        </is>
      </c>
      <c r="E129" s="88" t="inlineStr">
        <is>
          <t>예상 Q&amp;A 답변 준비(iCal 선택이유/DB전환이유/AI Agent vs 챗봇 차이 등)</t>
        </is>
      </c>
      <c r="F129" s="88" t="inlineStr">
        <is>
          <t>본인 직접(콘텐츠 확인/검토, 코드작업 아님)</t>
        </is>
      </c>
      <c r="G129" s="88" t="inlineStr">
        <is>
          <t>docs/qna_prep.md</t>
        </is>
      </c>
      <c r="H129" s="88" t="inlineStr">
        <is>
          <t>발표 당일 사고 예방이 유일한 목적</t>
        </is>
      </c>
      <c r="I129" s="88" t="inlineStr">
        <is>
          <t>시연 직전 반드시 실제 환경에서 리허설한다(로컬 테스트만으로 안심 금지)</t>
        </is>
      </c>
      <c r="J129" s="88" t="inlineStr">
        <is>
          <t>처음부터 끝까지 실제로 클릭해보며 끊기는 지점이 없는지 확인</t>
        </is>
      </c>
    </row>
    <row r="130" ht="15" customHeight="1" s="89">
      <c r="A130" s="160" t="inlineStr">
        <is>
          <t>2026-10-11(일)</t>
        </is>
      </c>
      <c r="B130" s="88" t="inlineStr">
        <is>
          <t>6.5단계</t>
        </is>
      </c>
      <c r="C130" s="88" t="inlineStr">
        <is>
          <t>코드구현</t>
        </is>
      </c>
      <c r="D130" s="88" t="inlineStr">
        <is>
          <t>최종 데모검증</t>
        </is>
      </c>
      <c r="E130" s="88" t="inlineStr">
        <is>
          <t>✅ 6.5단계 검증: 배포본 재생·서버 웨이크업·발표 최종 리허설</t>
        </is>
      </c>
      <c r="F130" s="88" t="inlineStr">
        <is>
          <t>본인 — Claude Code(터미널 직접실행 권장)</t>
        </is>
      </c>
      <c r="G130" s="88" t="inlineStr">
        <is>
          <t>backend/ 또는 frontend/ (세부 위치는 해당일 착수시 확정)</t>
        </is>
      </c>
      <c r="H130" s="88" t="inlineStr">
        <is>
          <t>발표 당일 사고 예방이 유일한 목적</t>
        </is>
      </c>
      <c r="I130" s="88" t="inlineStr">
        <is>
          <t>시연 직전 반드시 실제 환경에서 리허설한다(로컬 테스트만으로 안심 금지)</t>
        </is>
      </c>
      <c r="J130" s="88" t="inlineStr">
        <is>
          <t>처음부터 끝까지 실제로 클릭해보며 끊기는 지점이 없는지 확인. 발표영상 실제 재생 확인 포함(음성·화면 끝까지 끊김없이 재생되는지, 10/11 리허설 때 반드시 함께 확인)</t>
        </is>
      </c>
    </row>
    <row r="131" ht="15" customHeight="1" s="89">
      <c r="A131" s="161" t="inlineStr">
        <is>
          <t>2026-10-11(일)</t>
        </is>
      </c>
      <c r="B131" s="162" t="inlineStr">
        <is>
          <t>6.5단계</t>
        </is>
      </c>
      <c r="C131" s="88" t="inlineStr">
        <is>
          <t>코드구현</t>
        </is>
      </c>
      <c r="D131" s="88" t="inlineStr">
        <is>
          <t>마무리</t>
        </is>
      </c>
      <c r="E131" s="88" t="inlineStr">
        <is>
          <t>✅ 발표자료(PPT) PBT 제출(외부마감 10/11)</t>
        </is>
      </c>
      <c r="F131" s="88" t="inlineStr">
        <is>
          <t>본인 — Claude Code(터미널 직접실행 권장)</t>
        </is>
      </c>
      <c r="G131" s="88" t="inlineStr">
        <is>
          <t>제출플랫폼(외부)</t>
        </is>
      </c>
      <c r="H131" s="88" t="inlineStr">
        <is>
          <t>발표 당일 사고 예방이 유일한 목적</t>
        </is>
      </c>
      <c r="I131" s="88" t="inlineStr">
        <is>
          <t>시연 직전 반드시 실제 환경에서 리허설한다(로컬 테스트만으로 안심 금지)</t>
        </is>
      </c>
      <c r="J131" s="88" t="inlineStr">
        <is>
          <t>처음부터 끝까지 실제로 클릭해보며 끊기는 지점이 없는지 확인</t>
        </is>
      </c>
    </row>
    <row r="132" ht="15" customHeight="1" s="89">
      <c r="A132" s="163" t="n"/>
      <c r="B132" s="162" t="n"/>
    </row>
    <row r="133" ht="15" customHeight="1" s="89">
      <c r="A133" s="164" t="inlineStr">
        <is>
          <t>※ 구분 범례</t>
        </is>
      </c>
      <c r="B133" s="162" t="n"/>
    </row>
    <row r="134" ht="15" customHeight="1" s="89">
      <c r="A134" s="165" t="inlineStr">
        <is>
          <t>문서확인</t>
        </is>
      </c>
      <c r="B134" s="162" t="inlineStr">
        <is>
          <t>이미 DB명세서 등에 작성된 내용을 재확인·체크만</t>
        </is>
      </c>
    </row>
    <row r="135" ht="15" customHeight="1" s="89">
      <c r="A135" s="166" t="inlineStr">
        <is>
          <t>신규작성</t>
        </is>
      </c>
      <c r="B135" s="162" t="inlineStr">
        <is>
          <t>아직 없는 문서를 새로 작성</t>
        </is>
      </c>
    </row>
    <row r="136">
      <c r="A136" s="88" t="inlineStr">
        <is>
          <t>설정확인</t>
        </is>
      </c>
      <c r="B136" s="88" t="inlineStr">
        <is>
          <t>파일이 아닌 클라우드 콘솔 등 외부 설정 확인</t>
        </is>
      </c>
    </row>
    <row r="137">
      <c r="A137" s="88" t="inlineStr">
        <is>
          <t>코드구현</t>
        </is>
      </c>
      <c r="B137" s="88" t="inlineStr">
        <is>
          <t>실제 backend/frontend 코드 작성(9/5 이후만 해당)</t>
        </is>
      </c>
    </row>
    <row r="138">
      <c r="A138" s="88" t="inlineStr">
        <is>
          <t>설계/콘텐츠</t>
        </is>
      </c>
      <c r="B138" s="88" t="inlineStr">
        <is>
          <t>야간 시간대 문서·콘텐츠 초안 작업</t>
        </is>
      </c>
    </row>
    <row r="139">
      <c r="A139" t="inlineStr">
        <is>
          <t>2026-09-16(수)</t>
        </is>
      </c>
      <c r="B139" t="inlineStr">
        <is>
          <t>3단계</t>
        </is>
      </c>
      <c r="C139" t="inlineStr">
        <is>
          <t>코드구현</t>
        </is>
      </c>
      <c r="D139" t="inlineStr">
        <is>
          <t>고객 응대 자동화</t>
        </is>
      </c>
      <c r="E139" t="inlineStr">
        <is>
          <t>N1 AI 패키지 도입(anthropic·sentence-transformers) + services/ai/ 골격</t>
        </is>
      </c>
      <c r="F139" t="inlineStr">
        <is>
          <t>본인 — Claude Code(터미널 직접실행 권장)</t>
        </is>
      </c>
      <c r="G139" t="inlineStr">
        <is>
          <t>backend/requirements.txt, backend/app/services/ai/__init__.py</t>
        </is>
      </c>
      <c r="H139" t="inlineStr">
        <is>
          <t>EMBEDDING_DIM=384에 맞는 모델만 쓴다 — paraphrase-multilingual-MiniLM-L12-v2(한국어 하우스룰 + 영/중/일 문의를 같은 공간에)</t>
        </is>
      </c>
      <c r="I139" t="inlineStr">
        <is>
          <t>유료 임베딩 API를 쓰지 않는다(CLAUDE.md). torch 포함 약 1GB가 늘어 Render 배포 크기에 영향 — 10/1 배포 전 확인</t>
        </is>
      </c>
      <c r="J139" t="inlineStr">
        <is>
          <t>python -c로 384차원이 나오는지 + anthropic 호출 1건이 200으로 돌아오는지 둘 다 확인</t>
        </is>
      </c>
    </row>
    <row r="140">
      <c r="A140" t="inlineStr">
        <is>
          <t>2026-09-16(수)</t>
        </is>
      </c>
      <c r="B140" t="inlineStr">
        <is>
          <t>2단계</t>
        </is>
      </c>
      <c r="C140" t="inlineStr">
        <is>
          <t>코드구현</t>
        </is>
      </c>
      <c r="D140" t="inlineStr">
        <is>
          <t>기반 인프라</t>
        </is>
      </c>
      <c r="E140" t="inlineStr">
        <is>
          <t>N8 /settings 채널연동 탭 화면(연결 목록·등록·삭제·수동 동기화)</t>
        </is>
      </c>
      <c r="F140" t="inlineStr">
        <is>
          <t>본인 — Claude Code(터미널 직접실행 권장)</t>
        </is>
      </c>
      <c r="G140" t="inlineStr">
        <is>
          <t>frontend/src/pages/Settings.tsx</t>
        </is>
      </c>
      <c r="H140" t="inlineStr">
        <is>
          <t>이 화면이 없으면 r49(수동 새로고침)·r50(네이버 카드)·r51(에러 UI) 셋이 붙을 자리가 없다</t>
        </is>
      </c>
      <c r="I140" t="inlineStr">
        <is>
          <t>iCal URL은 마스킹해서 보여준다(api_contract 3절 ical_url_masked). 전체 URL을 화면에 그대로 찍지 않는다</t>
        </is>
      </c>
      <c r="J140" t="inlineStr">
        <is>
          <t>브라우저에서 로딩·에러·빈 상태 세 가지를 눈으로 본다(화면 작업 규칙 완료 조건)</t>
        </is>
      </c>
    </row>
    <row r="141">
      <c r="A141" t="inlineStr">
        <is>
          <t>2026-09-18(금)</t>
        </is>
      </c>
      <c r="B141" t="inlineStr">
        <is>
          <t>3단계</t>
        </is>
      </c>
      <c r="C141" t="inlineStr">
        <is>
          <t>코드구현</t>
        </is>
      </c>
      <c r="D141" t="inlineStr">
        <is>
          <t>고객 응대 자동화</t>
        </is>
      </c>
      <c r="E141" t="inlineStr">
        <is>
          <t>N2 rag_engine.py — pgvector 코사인 검색 + property_id 물리 격리</t>
        </is>
      </c>
      <c r="F141" t="inlineStr">
        <is>
          <t>본인 — Claude Code(터미널 직접실행 권장)</t>
        </is>
      </c>
      <c r="G141" t="inlineStr">
        <is>
          <t>backend/app/services/ai/rag_engine.py</t>
        </is>
      </c>
      <c r="H141" t="inlineStr">
        <is>
          <t>WHERE property_id = :pid 를 절대 빼지 않는다(코딩규칙 7). 빼면 교차오답이 실제로 난다 — 9/15에 재현됨</t>
        </is>
      </c>
      <c r="I141" t="inlineStr">
        <is>
          <t>ChromaDB 클라이언트 문법(collection.query)을 쓰지 않는다. 별도 벡터DB 서버는 도입하지 않는다</t>
        </is>
      </c>
      <c r="J141" t="inlineStr">
        <is>
          <t>숙소 A 질문에 숙소 B 청크가 섞이지 않는지 + 격리를 뺐을 때는 섞이는지 둘 다 확인(대조군)</t>
        </is>
      </c>
    </row>
    <row r="142">
      <c r="A142" t="inlineStr">
        <is>
          <t>2026-09-18(금)</t>
        </is>
      </c>
      <c r="B142" t="inlineStr">
        <is>
          <t>3단계</t>
        </is>
      </c>
      <c r="C142" t="inlineStr">
        <is>
          <t>코드구현</t>
        </is>
      </c>
      <c r="D142" t="inlineStr">
        <is>
          <t>고객 응대 자동화</t>
        </is>
      </c>
      <c r="E142" t="inlineStr">
        <is>
          <t>N3 임베딩 생성 + 지식베이스 적재 경로(POST /knowledge-chunks)</t>
        </is>
      </c>
      <c r="F142" t="inlineStr">
        <is>
          <t>본인 — Claude Code(터미널 직접실행 권장)</t>
        </is>
      </c>
      <c r="G142" t="inlineStr">
        <is>
          <t>backend/app/api/v1/endpoints/rag.py</t>
        </is>
      </c>
      <c r="H142" t="inlineStr">
        <is>
          <t>등록 시 임베딩을 동기 생성해 즉시 검색 가능한 상태로 돌려준다(api_contract 8절) — 상태 폴링을 만들지 않는다</t>
        </is>
      </c>
      <c r="I142" t="inlineStr">
        <is>
          <t>호스트 내부 재량(조기체크인 수용 여부 등)은 등록하지 않는다(코딩규칙 13). 공식 규정만 넣는다</t>
        </is>
      </c>
      <c r="J142" t="inlineStr">
        <is>
          <t>등록 직후 그 문장으로 검색해 1위로 나오는지 확인</t>
        </is>
      </c>
    </row>
    <row r="143">
      <c r="A143" t="inlineStr">
        <is>
          <t>2026-09-19(토)</t>
        </is>
      </c>
      <c r="B143" t="inlineStr">
        <is>
          <t>3단계</t>
        </is>
      </c>
      <c r="C143" t="inlineStr">
        <is>
          <t>코드구현</t>
        </is>
      </c>
      <c r="D143" t="inlineStr">
        <is>
          <t>고객 응대 자동화</t>
        </is>
      </c>
      <c r="E143" t="inlineStr">
        <is>
          <t>N4 pii_masking.py — Claude 전송 전 전화·이메일·여권·카드번호 마스킹</t>
        </is>
      </c>
      <c r="F143" t="inlineStr">
        <is>
          <t>본인 — Claude Code(터미널 직접실행 권장)</t>
        </is>
      </c>
      <c r="G143" t="inlineStr">
        <is>
          <t>backend/app/utils/pii_masking.py</t>
        </is>
      </c>
      <c r="H143" t="inlineStr">
        <is>
          <t>DB에는 원본을 그대로 저장한다 — 마스킹은 외부(Claude)로 나가는 텍스트에만 적용한다</t>
        </is>
      </c>
      <c r="I143" t="inlineStr">
        <is>
          <t>게스트가 본문에 직접 적어 보내는 경우를 잡는 것이 목적이다. DB에 연락처 컬럼이 없다는 것과 별개다</t>
        </is>
      </c>
      <c r="J143" t="inlineStr">
        <is>
          <t>전화·이메일·여권·카드번호가 든 문장을 넣어 네 가지가 전부 가려지는지 + guest_name이 프롬프트에 없는지 확인</t>
        </is>
      </c>
    </row>
    <row r="144">
      <c r="A144" t="inlineStr">
        <is>
          <t>2026-09-19(토)</t>
        </is>
      </c>
      <c r="B144" t="inlineStr">
        <is>
          <t>3단계</t>
        </is>
      </c>
      <c r="C144" t="inlineStr">
        <is>
          <t>코드구현</t>
        </is>
      </c>
      <c r="D144" t="inlineStr">
        <is>
          <t>고객 응대 자동화</t>
        </is>
      </c>
      <c r="E144" t="inlineStr">
        <is>
          <t>N5 agent_graph.py — Claude 단일 통합호출(structured outputs)</t>
        </is>
      </c>
      <c r="F144" t="inlineStr">
        <is>
          <t>본인 — Claude Code(터미널 직접실행 권장)</t>
        </is>
      </c>
      <c r="G144" t="inlineStr">
        <is>
          <t>backend/app/services/ai/agent_graph.py</t>
        </is>
      </c>
      <c r="H144" t="inlineStr">
        <is>
          <t>분류+위험도+다국어+근거를 1회 호출로 받는다. 절대 여러 LLM 노드로 쪼개지 않는다(비용 통제)</t>
        </is>
      </c>
      <c r="I144" t="inlineStr">
        <is>
          <t>content[0]이 text가 아닐 수 있다(9/15에 ThinkingBlock 간헐 확인). 프리필은 400이라 쓸 수 없다 — structured outputs를 쓴다</t>
        </is>
      </c>
      <c r="J144" t="inlineStr">
        <is>
          <t>같은 문의 2건으로 JSON 직파싱이 되는지 + 타임아웃(최초10초/재시도5초)이 실제로 발동하는지 확인</t>
        </is>
      </c>
    </row>
    <row r="145">
      <c r="A145" t="inlineStr">
        <is>
          <t>2026-09-21(월)</t>
        </is>
      </c>
      <c r="B145" t="inlineStr">
        <is>
          <t>3단계</t>
        </is>
      </c>
      <c r="C145" t="inlineStr">
        <is>
          <t>코드구현</t>
        </is>
      </c>
      <c r="D145" t="inlineStr">
        <is>
          <t>고객 응대 자동화</t>
        </is>
      </c>
      <c r="E145" t="inlineStr">
        <is>
          <t>N6 키워드 사전 필터 — LLM 호출 전 저비용 선분류</t>
        </is>
      </c>
      <c r="F145" t="inlineStr">
        <is>
          <t>본인 — Claude Code(터미널 직접실행 권장)</t>
        </is>
      </c>
      <c r="G145" t="inlineStr">
        <is>
          <t>backend/app/services/ai/agent_graph.py</t>
        </is>
      </c>
      <c r="H145" t="inlineStr">
        <is>
          <t>필터가 확신하지 못하면 반드시 LLM으로 넘긴다 — 필터가 최종 판정을 내리지 않는다</t>
        </is>
      </c>
      <c r="I145" t="inlineStr">
        <is>
          <t>필터를 과신하면 오분류가 조용히 승인 없이 나간다. 위험도 HIGH 후보는 필터에서 자동응답으로 빼지 않는다</t>
        </is>
      </c>
      <c r="J145" t="inlineStr">
        <is>
          <t>필터가 거른 건수와 LLM으로 넘어간 건수를 함께 세어 호출 절감이 실제로 났는지 확인</t>
        </is>
      </c>
    </row>
    <row r="146">
      <c r="A146" t="inlineStr">
        <is>
          <t>2026-09-21(월)</t>
        </is>
      </c>
      <c r="B146" t="inlineStr">
        <is>
          <t>3단계</t>
        </is>
      </c>
      <c r="C146" t="inlineStr">
        <is>
          <t>코드구현</t>
        </is>
      </c>
      <c r="D146" t="inlineStr">
        <is>
          <t>고객 응대 자동화</t>
        </is>
      </c>
      <c r="E146" t="inlineStr">
        <is>
          <t>N7 inquiries.py 라우터 6종(목록·접수·상세·재생성·승인·거절)</t>
        </is>
      </c>
      <c r="F146" t="inlineStr">
        <is>
          <t>본인 — Claude Code(터미널 직접실행 권장)</t>
        </is>
      </c>
      <c r="G146" t="inlineStr">
        <is>
          <t>backend/app/api/v1/endpoints/inquiries.py</t>
        </is>
      </c>
      <c r="H146" t="inlineStr">
        <is>
          <t>is_latest는 UPDATE(false) 먼저, INSERT(true) 나중. 순서가 바뀌면 부분 UNIQUE 인덱스 위반이다</t>
        </is>
      </c>
      <c r="I146" t="inlineStr">
        <is>
          <t>regenerate는 SELECT ... FOR UPDATE로 행잠금. 없으면 재시도 상한이 실제로 3회를 넘긴다</t>
        </is>
      </c>
      <c r="J146" t="inlineStr">
        <is>
          <t>재시도 2회를 소진한 뒤 3번째가 429 MAX_RETRY_EXCEEDED로 막히는지 실제로 돌려서 확인</t>
        </is>
      </c>
    </row>
    <row r="147">
      <c r="A147" t="inlineStr">
        <is>
          <t>2026-09-21(월)</t>
        </is>
      </c>
      <c r="B147" t="inlineStr">
        <is>
          <t>3단계</t>
        </is>
      </c>
      <c r="C147" t="inlineStr">
        <is>
          <t>코드구현</t>
        </is>
      </c>
      <c r="D147" t="inlineStr">
        <is>
          <t>고객 응대 자동화</t>
        </is>
      </c>
      <c r="E147" t="inlineStr">
        <is>
          <t>N14 개발용 최소 시드(숙소2·예약2·문의3) — API 경로로 생성</t>
        </is>
      </c>
      <c r="F147" t="inlineStr">
        <is>
          <t>본인 — Claude Code(터미널 직접실행 권장)</t>
        </is>
      </c>
      <c r="G147" t="inlineStr">
        <is>
          <t>tools/seed_dev.py</t>
        </is>
      </c>
      <c r="H147" t="inlineStr">
        <is>
          <t>가능한 한 서비스·API를 거쳐 만든다 — db.add() 직접 삽입은 인터셉터를 건너뛰어 검증되지 않은 데이터가 된다</t>
        </is>
      </c>
      <c r="I147" t="inlineStr">
        <is>
          <t>배포 DB를 향해 실행하지 않는다. tools/seed_demo.py와 같은 --drop 규약을 따른다</t>
        </is>
      </c>
      <c r="J147" t="inlineStr">
        <is>
          <t>실행 후 /dashboard와 /inquiries가 빈 화면이 아닌지 브라우저로 확인</t>
        </is>
      </c>
    </row>
    <row r="148">
      <c r="A148" t="inlineStr">
        <is>
          <t>2026-09-22(화)</t>
        </is>
      </c>
      <c r="B148" t="inlineStr">
        <is>
          <t>2단계</t>
        </is>
      </c>
      <c r="C148" t="inlineStr">
        <is>
          <t>코드구현</t>
        </is>
      </c>
      <c r="D148" t="inlineStr">
        <is>
          <t>기반 인프라</t>
        </is>
      </c>
      <c r="E148" t="inlineStr">
        <is>
          <t>N9 /onboarding 화면(STEP1 숙소·객실·침대 / STEP2 채널 연결)</t>
        </is>
      </c>
      <c r="F148" t="inlineStr">
        <is>
          <t>본인 — Claude Code(터미널 직접실행 권장)</t>
        </is>
      </c>
      <c r="G148" t="inlineStr">
        <is>
          <t>frontend/src/pages/Onboarding.tsx</t>
        </is>
      </c>
      <c r="H148" t="inlineStr">
        <is>
          <t>두 번째 숙소 추가 경로이기도 하다 — 가입 직후 1회용이 아니다(ui_design 5-3절). 멀티호스트 차별화의 입구다</t>
        </is>
      </c>
      <c r="I148" t="inlineStr">
        <is>
          <t>STEP2는 나중에 하기를 허용한다(ui_design 4-3절). 채널 없이도 다음으로 넘어가야 한다</t>
        </is>
      </c>
      <c r="J148" t="inlineStr">
        <is>
          <t>가입 → 숙소 등록 → 대시보드 진입까지 끊김 없이 되는지 브라우저에서 확인(r55 확인방법과 같은 경로)</t>
        </is>
      </c>
    </row>
    <row r="149">
      <c r="A149" t="inlineStr">
        <is>
          <t>2026-09-22(화)</t>
        </is>
      </c>
      <c r="B149" t="inlineStr">
        <is>
          <t>3단계</t>
        </is>
      </c>
      <c r="C149" t="inlineStr">
        <is>
          <t>코드구현</t>
        </is>
      </c>
      <c r="D149" t="inlineStr">
        <is>
          <t>고객 응대 자동화</t>
        </is>
      </c>
      <c r="E149" t="inlineStr">
        <is>
          <t>N15 AI 승인 대기 카드 1종(대시보드 위젯)</t>
        </is>
      </c>
      <c r="F149" t="inlineStr">
        <is>
          <t>본인 — Claude Code(터미널 직접실행 권장)</t>
        </is>
      </c>
      <c r="G149" t="inlineStr">
        <is>
          <t>frontend/src/pages/Dashboard.tsx</t>
        </is>
      </c>
      <c r="H149" t="inlineStr">
        <is>
          <t>승인 대기 건수와 바로가기만 둔다. 액션센터 전체 규칙(🔴🟡🟢)은 10/3 r98·r102에서 한다</t>
        </is>
      </c>
      <c r="I149" t="inlineStr">
        <is>
          <t>AI가 위험을 판단하는 것처럼 보이는 문구를 쓰지 않는다 — 규칙기반 운영 우선순위다(risk_level 명칭 주의)</t>
        </is>
      </c>
      <c r="J149" t="inlineStr">
        <is>
          <t>승인 대기 문의를 만든 뒤 대시보드에 숫자가 오르고 클릭하면 /inquiries로 가는지 확인</t>
        </is>
      </c>
    </row>
    <row r="150">
      <c r="A150" t="inlineStr">
        <is>
          <t>2026-09-23(수)</t>
        </is>
      </c>
      <c r="B150" t="inlineStr">
        <is>
          <t>2단계</t>
        </is>
      </c>
      <c r="C150" t="inlineStr">
        <is>
          <t>코드구현</t>
        </is>
      </c>
      <c r="D150" t="inlineStr">
        <is>
          <t>기반 인프라</t>
        </is>
      </c>
      <c r="E150" t="inlineStr">
        <is>
          <t>N10 예약 생성·상세 모달(캘린더 내)</t>
        </is>
      </c>
      <c r="F150" t="inlineStr">
        <is>
          <t>본인 — Claude Code(터미널 직접실행 권장)</t>
        </is>
      </c>
      <c r="G150" t="inlineStr">
        <is>
          <t>frontend/src/pages/Calendar.tsx (예약 생성·상세 모달)</t>
        </is>
      </c>
      <c r="H150" t="inlineStr">
        <is>
          <t>별도 라우트를 만들지 않는다 — 빈 칸 클릭은 생성 모달, 예약 블록 클릭은 상세 모달이다(ui_design 4-5절)</t>
        </is>
      </c>
      <c r="I150" t="inlineStr">
        <is>
          <t>폼은 bookable_unit_type으로 분기한다. 에러 4종(400 3종 + 409)을 폼 안에 인라인으로 띄운다</t>
        </is>
      </c>
      <c r="J150" t="inlineStr">
        <is>
          <t>독채/객실/침대 세 숙소에서 각각 생성해 보고, 겹치는 날짜로 넣었을 때 409가 폼에 뜨는지 확인</t>
        </is>
      </c>
    </row>
    <row r="151">
      <c r="A151" t="inlineStr">
        <is>
          <t>2026-09-24(목)</t>
        </is>
      </c>
      <c r="B151" t="inlineStr">
        <is>
          <t>4단계</t>
        </is>
      </c>
      <c r="C151" t="inlineStr">
        <is>
          <t>코드구현</t>
        </is>
      </c>
      <c r="D151" t="inlineStr">
        <is>
          <t>청소·시설 관리</t>
        </is>
      </c>
      <c r="E151" t="inlineStr">
        <is>
          <t>N11a 청소 서비스 + 라우터(선제생성·상태전이·목록)</t>
        </is>
      </c>
      <c r="F151" t="inlineStr">
        <is>
          <t>본인 — Claude Code(터미널 직접실행 권장)</t>
        </is>
      </c>
      <c r="G151" t="inlineStr">
        <is>
          <t>backend/app/services/cleaning_service.py, backend/app/api/v1/endpoints/cleaning.py</t>
        </is>
      </c>
      <c r="H151" t="inlineStr">
        <is>
          <t>예약이 CONFIRMED 되는 즉시 PENDING으로 선제생성한다(체크아웃 당일이 아니다). scheduled_at = check_out + checkout_time</t>
        </is>
      </c>
      <c r="I151" t="inlineStr">
        <is>
          <t>ISSUE는 막다른 상태가 아니다 — IN_PROGRESS/TASK_COMPLETED로 복귀 가능해야 한다</t>
        </is>
      </c>
      <c r="J151" t="inlineStr">
        <is>
          <t>예약 확정 → 청소 행이 그 자리에서 생기는지 + 상태 전이가 규정대로 막히고 열리는지 확인</t>
        </is>
      </c>
    </row>
    <row r="152">
      <c r="A152" t="inlineStr">
        <is>
          <t>2026-09-26(토)</t>
        </is>
      </c>
      <c r="B152" t="inlineStr">
        <is>
          <t>4단계</t>
        </is>
      </c>
      <c r="C152" t="inlineStr">
        <is>
          <t>코드구현</t>
        </is>
      </c>
      <c r="D152" t="inlineStr">
        <is>
          <t>청소·시설 관리</t>
        </is>
      </c>
      <c r="E152" t="inlineStr">
        <is>
          <t>N11b /cleaning 화면(목록·상태 전이·사진)</t>
        </is>
      </c>
      <c r="F152" t="inlineStr">
        <is>
          <t>본인 — Claude Code(터미널 직접실행 권장)</t>
        </is>
      </c>
      <c r="G152" t="inlineStr">
        <is>
          <t>frontend/src/pages/Cleaning.tsx</t>
        </is>
      </c>
      <c r="H152" t="inlineStr">
        <is>
          <t>r80(Empty State)·r82(사진)·r83(정비 체크리스트)이 전부 이 화면 위에 올라간다 — 이것이 먼저다</t>
        </is>
      </c>
      <c r="I152" t="inlineStr">
        <is>
          <t>공통 컴포넌트(Loading/EmptyState)를 새로 만들지 말고 components/state의 것을 쓴다(r58에서 만든 것)</t>
        </is>
      </c>
      <c r="J152" t="inlineStr">
        <is>
          <t>브라우저에서 로딩·에러·빈 상태 세 가지를 눈으로 본다</t>
        </is>
      </c>
    </row>
    <row r="153">
      <c r="A153" t="inlineStr">
        <is>
          <t>2026-09-28(월)</t>
        </is>
      </c>
      <c r="B153" t="inlineStr">
        <is>
          <t>5.5단계</t>
        </is>
      </c>
      <c r="C153" t="inlineStr">
        <is>
          <t>코드구현</t>
        </is>
      </c>
      <c r="D153" t="inlineStr">
        <is>
          <t>통합QA·보안</t>
        </is>
      </c>
      <c r="E153" t="inlineStr">
        <is>
          <t>N13 배치 수동 트리거(checkout_time COMPLETED 전이 포함)</t>
        </is>
      </c>
      <c r="F153" t="inlineStr">
        <is>
          <t>본인 — Claude Code(터미널 직접실행 권장)</t>
        </is>
      </c>
      <c r="G153" t="inlineStr">
        <is>
          <t>backend/app/batch/scheduler.py</t>
        </is>
      </c>
      <c r="H153" t="inlineStr">
        <is>
          <t>먼저 손으로 돌릴 수 있게 만든다 — 시각 스케줄링은 그 다음이다. 돌릴 수 없으면 r84를 검증할 수 없다</t>
        </is>
      </c>
      <c r="I153" t="inlineStr">
        <is>
          <t>Render 무료플랜은 슬립되므로 앱 내부 스케줄러만 믿지 않는다. 수동 트리거 경로를 반드시 남긴다</t>
        </is>
      </c>
      <c r="J153" t="inlineStr">
        <is>
          <t>체크아웃 시각이 지난 예약이 COMPLETED로 바뀌고 그 달 정산에 편입되는지 실제 데이터로 확인</t>
        </is>
      </c>
    </row>
    <row r="154">
      <c r="A154" t="inlineStr">
        <is>
          <t>2026-09-29(화)</t>
        </is>
      </c>
      <c r="B154" t="inlineStr">
        <is>
          <t>5단계</t>
        </is>
      </c>
      <c r="C154" t="inlineStr">
        <is>
          <t>코드구현</t>
        </is>
      </c>
      <c r="D154" t="inlineStr">
        <is>
          <t>정산 리포트</t>
        </is>
      </c>
      <c r="E154" t="inlineStr">
        <is>
          <t>N12a 정산 서비스 + 라우터(월별 집계·확정)</t>
        </is>
      </c>
      <c r="F154" t="inlineStr">
        <is>
          <t>본인 — Claude Code(터미널 직접실행 권장)</t>
        </is>
      </c>
      <c r="G154" t="inlineStr">
        <is>
          <t>backend/app/services/settlement_service.py, backend/app/api/v1/endpoints/settlements.py</t>
        </is>
      </c>
      <c r="H154" t="inlineStr">
        <is>
          <t>확정은 월정산 갱신과 예약 financial_status 일괄변경을 하나의 트랜잭션으로 묶는다(코딩규칙 3)</t>
        </is>
      </c>
      <c r="I154" t="inlineStr">
        <is>
          <t>채널별 내역은 MONTHLY_SETTLEMENTS가 아니라 RESERVATIONS.fee_amount 스냅샷을 묶어 낸다(db_spec 2.8절)</t>
        </is>
      </c>
      <c r="J154" t="inlineStr">
        <is>
          <t>확정 후 그 달 예약이 전부 CONFIRMED로 바뀌었는지 + 요율을 바꿔도 과거 정산이 그대로인지 확인</t>
        </is>
      </c>
    </row>
    <row r="155">
      <c r="A155" t="inlineStr">
        <is>
          <t>2026-09-30(수)</t>
        </is>
      </c>
      <c r="B155" t="inlineStr">
        <is>
          <t>5단계</t>
        </is>
      </c>
      <c r="C155" t="inlineStr">
        <is>
          <t>코드구현</t>
        </is>
      </c>
      <c r="D155" t="inlineStr">
        <is>
          <t>정산 리포트</t>
        </is>
      </c>
      <c r="E155" t="inlineStr">
        <is>
          <t>N12b /settlements 화면(월 목록·집계 표시)</t>
        </is>
      </c>
      <c r="F155" t="inlineStr">
        <is>
          <t>본인 — Claude Code(터미널 직접실행 권장)</t>
        </is>
      </c>
      <c r="G155" t="inlineStr">
        <is>
          <t>frontend/src/pages/Settlements.tsx</t>
        </is>
      </c>
      <c r="H155" t="inlineStr">
        <is>
          <t>모든 금액이 추정치임을 화면에서 구분 표시한다 — financial_status 뱃지를 반드시 노출한다</t>
        </is>
      </c>
      <c r="I155" t="inlineStr">
        <is>
          <t>확정은 단방향이다(되돌리기 없음) — 확인 모달을 거치게 한다(ui_design 4-9절)</t>
        </is>
      </c>
      <c r="J155" t="inlineStr">
        <is>
          <t>예상/확정/수동수정 뱃지가 실제로 다르게 보이는지 확인</t>
        </is>
      </c>
    </row>
    <row r="156">
      <c r="A156" t="inlineStr">
        <is>
          <t>2026-10-04(일)</t>
        </is>
      </c>
      <c r="B156" t="inlineStr">
        <is>
          <t>5.5단계</t>
        </is>
      </c>
      <c r="C156" t="inlineStr">
        <is>
          <t>코드구현</t>
        </is>
      </c>
      <c r="D156" t="inlineStr">
        <is>
          <t>통합QA·보안</t>
        </is>
      </c>
      <c r="E156" t="inlineStr">
        <is>
          <t>통합 버퍼 — 미완 흡수 / 핵심 시나리오 점검</t>
        </is>
      </c>
      <c r="F156" t="inlineStr">
        <is>
          <t>본인 — Claude Code(터미널 직접실행 권장)</t>
        </is>
      </c>
      <c r="G156" t="inlineStr">
        <is>
          <t>(파일 아님) — 그 시점에 밀린 항목</t>
        </is>
      </c>
      <c r="H156" t="inlineStr">
        <is>
          <t>새 기능을 시작하지 않는다. 앞에서 밀린 것을 끝내는 날이다</t>
        </is>
      </c>
      <c r="I156" t="inlineStr">
        <is>
          <t>버퍼가 비면 쉬어도 된다 — 억지로 채우면 버퍼가 사라진다</t>
        </is>
      </c>
      <c r="J156" t="inlineStr">
        <is>
          <t>10/5 검증일에 들어가기 전에 미완이 0인지 확인</t>
        </is>
      </c>
    </row>
  </sheetData>
  <mergeCells count="6">
    <mergeCell ref="A1:J1"/>
    <mergeCell ref="B135:E135"/>
    <mergeCell ref="B138:E138"/>
    <mergeCell ref="B134:E134"/>
    <mergeCell ref="B137:E137"/>
    <mergeCell ref="B136:E1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89" min="1" max="1"/>
    <col width="30" customWidth="1" style="89" min="2" max="2"/>
    <col width="12" customWidth="1" style="89" min="3" max="3"/>
    <col width="26" customWidth="1" style="89" min="4" max="4"/>
    <col width="40" customWidth="1" style="89" min="5" max="5"/>
    <col width="30" customWidth="1" style="89" min="6" max="6"/>
    <col width="7" customWidth="1" style="89" min="7" max="7"/>
  </cols>
  <sheetData>
    <row r="1" ht="23.85" customHeight="1" s="89">
      <c r="A1" s="95" t="inlineStr">
        <is>
          <t>3rd Host AI — 일일 크로스체크 카드 (매일 아침 확인용)</t>
        </is>
      </c>
    </row>
    <row r="2" ht="14.15" customHeight="1" s="89">
      <c r="A2" s="167" t="inlineStr">
        <is>
          <t>사용법: 매일 아침 해당 날짜 카드를 열어 순서대로 진행 → 완료마다 '완료' 열에 체크 → 하단 '아침 크로스체크'에 확인 기록</t>
        </is>
      </c>
    </row>
    <row r="4" ht="24" customHeight="1" s="89">
      <c r="A4" s="178" t="inlineStr">
        <is>
          <t>📅 2026-08-31(월)  ·  1일차  ·  작업 3건</t>
        </is>
      </c>
    </row>
    <row r="5" ht="18" customHeight="1" s="89">
      <c r="A5" s="179" t="inlineStr">
        <is>
          <t>🎯 오늘의 타이틀: Host-Property-Room-Bed 계층 스키마 확정(모두 optional)</t>
        </is>
      </c>
    </row>
    <row r="6" ht="15" customHeight="1" s="89">
      <c r="A6" s="180" t="inlineStr">
        <is>
          <t>순서</t>
        </is>
      </c>
      <c r="B6" s="180" t="inlineStr">
        <is>
          <t>세부 작업</t>
        </is>
      </c>
      <c r="C6" s="180" t="inlineStr">
        <is>
          <t>활용도구</t>
        </is>
      </c>
      <c r="D6" s="180" t="inlineStr">
        <is>
          <t>파일 위치</t>
        </is>
      </c>
      <c r="E6" s="180" t="inlineStr">
        <is>
          <t>핵심포인트 / 주의할 점</t>
        </is>
      </c>
      <c r="F6" s="180" t="inlineStr">
        <is>
          <t>확인방법</t>
        </is>
      </c>
      <c r="G6" s="180" t="inlineStr">
        <is>
          <t>완료</t>
        </is>
      </c>
    </row>
    <row r="7" ht="48" customHeight="1" s="89">
      <c r="A7" s="181" t="n">
        <v>1</v>
      </c>
      <c r="B7" s="182" t="inlineStr">
        <is>
          <t>Host-Property-Room-Bed 계층 스키마 확정(모두 optional)</t>
        </is>
      </c>
      <c r="C7" s="182" t="inlineStr">
        <is>
          <t>Gemini(검토보조)</t>
        </is>
      </c>
      <c r="D7" s="182" t="inlineStr">
        <is>
          <t>docs/3rd_host_ai_db_spec_v1.md (2.1~2.4절)</t>
        </is>
      </c>
      <c r="E7" s="182" t="inlineStr">
        <is>
          <t>▶ 독채(3룸통대여)와 호스텔(개별실판매)을 하나의 구조로 동시 표현하는 것이 핵심 차별화
⚠ Room/Bed를 모두 optional로 둬야 함 — 강제로 NOT NULL 만들면 독채 예약 자체를 표현 못함</t>
        </is>
      </c>
      <c r="F7" s="182" t="inlineStr">
        <is>
          <t>3룸숙소=Property단위, 호스텔=Room단위 두 시나리오 모두 예약 생성이 가능한지 확인</t>
        </is>
      </c>
      <c r="G7" s="181" t="inlineStr">
        <is>
          <t>☑</t>
        </is>
      </c>
    </row>
    <row r="8" ht="48" customHeight="1" s="89">
      <c r="A8" s="181" t="n">
        <v>2</v>
      </c>
      <c r="B8" s="182" t="inlineStr">
        <is>
          <t>STEP0: DB명세서v1(3rd_host_ai_db_spec_v1.md)을 스키마 최종권위 문서로 확정 + 구버전 ERD(guests/payments 등 포함 폐기 초안) 폐기처리</t>
        </is>
      </c>
      <c r="C8" s="182" t="inlineStr">
        <is>
          <t>Claude(대화보조)</t>
        </is>
      </c>
      <c r="D8" s="182" t="inlineStr">
        <is>
          <t>docs/3rd_host_ai_db_spec_v1.md (전체)</t>
        </is>
      </c>
      <c r="E8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8" s="182" t="inlineStr">
        <is>
          <t>DB명세서 해당 섹션과 실제 반영내용을 나란히 놓고 비교</t>
        </is>
      </c>
      <c r="G8" s="181" t="inlineStr">
        <is>
          <t>☑</t>
        </is>
      </c>
    </row>
    <row r="9" ht="48" customHeight="1" s="89">
      <c r="A9" s="181" t="n">
        <v>3</v>
      </c>
      <c r="B9" s="182" t="inlineStr">
        <is>
          <t>Property.accommodation_type 단일 ENUM 필드 확정</t>
        </is>
      </c>
      <c r="C9" s="182" t="inlineStr">
        <is>
          <t>Gemini(검토보조)</t>
        </is>
      </c>
      <c r="D9" s="182" t="inlineStr">
        <is>
          <t>docs/3rd_host_ai_db_spec_v1.md (1. ENUM 타입 정의)</t>
        </is>
      </c>
      <c r="E9" s="182" t="inlineStr">
        <is>
          <t>▶ 단일 ENUM(한 공간에 복수 숙박업 유형 등록은 법적으로 불가능하다고 확인됨)
⚠ 6개 값 정확히(URBAN_HOMESTAY,RURAL_HOMESTAY,HANOK,HOSTEL,LODGING_FACILITY,GENERAL_LODGING) — PENSION/OTHER/HANOK_STAY 같은 임의값 절대 금지</t>
        </is>
      </c>
      <c r="F9" s="182" t="inlineStr">
        <is>
          <t>DB명세서 1절 ENUM 정의와 실제 반영값을 한 글자씩 diff 비교</t>
        </is>
      </c>
      <c r="G9" s="181" t="inlineStr">
        <is>
          <t>☑</t>
        </is>
      </c>
    </row>
    <row r="10" ht="109.5" customHeight="1" s="89">
      <c r="A10" s="183" t="inlineStr">
        <is>
          <t>🎬 오늘의 시나리오</t>
        </is>
      </c>
      <c r="B10" s="184" t="n"/>
      <c r="C10" s="183" t="inlineStr">
        <is>
          <t>[상황] 여러 문서(DB명세서/ERD/체크리스트)가 각각 따로 만들어지면 어느 게 진짜 기준인지 헷갈리기 쉬움
[동작] ① DB명세서v1을 스키마의 유일한 최종권위 문서(SSOT)로 확정 ② 기존에 떠돌던 구버전 ERD 초안은 전부 폐기 처리 ③ 이후 모든 문서가 이 명세서를 기준으로 동기화되도록 원칙 확립
[원칙 없었다면] 여러 버전의 스키마 문서가 동시에 존재하면, 오늘 하루 종일 겪은 것처럼 문서끼리 서로 다른 말을 하는 크로스체크 지옥이 반복됨</t>
        </is>
      </c>
      <c r="D10" s="185" t="n"/>
      <c r="E10" s="185" t="n"/>
      <c r="F10" s="185" t="n"/>
      <c r="G10" s="184" t="n"/>
    </row>
    <row r="11" ht="19.5" customHeight="1" s="89">
      <c r="A11" s="186" t="inlineStr">
        <is>
          <t>🌅 아침 크로스체크</t>
        </is>
      </c>
      <c r="B11" s="184" t="n"/>
      <c r="C11" s="186" t="inlineStr">
        <is>
          <t>☑ 전날 순서대로 실행됨  ☑ 위 작업 전부 완료  ☑ git commit 완료  ☑ 전날 백업 실행(backup_push.ps1/.bat 더블클릭 → git push+Desktop 미러백업)</t>
        </is>
      </c>
      <c r="D11" s="185" t="n"/>
      <c r="E11" s="185" t="n"/>
      <c r="F11" s="184" t="n"/>
      <c r="G11" s="186" t="inlineStr">
        <is>
          <t>메모:</t>
        </is>
      </c>
    </row>
    <row r="13" ht="24" customHeight="1" s="89">
      <c r="A13" s="178" t="inlineStr">
        <is>
          <t>📅 2026-09-01(화)  ·  2일차  ·  작업 9건</t>
        </is>
      </c>
    </row>
    <row r="14" ht="18" customHeight="1" s="89">
      <c r="A14" s="179" t="inlineStr">
        <is>
          <t>🎯 오늘의 타이틀: Reservation.bookable_unit_type(PROPERTY/ROOM/BED) 설계</t>
        </is>
      </c>
    </row>
    <row r="15" ht="15" customHeight="1" s="89">
      <c r="A15" s="180" t="inlineStr">
        <is>
          <t>순서</t>
        </is>
      </c>
      <c r="B15" s="180" t="inlineStr">
        <is>
          <t>세부 작업</t>
        </is>
      </c>
      <c r="C15" s="180" t="inlineStr">
        <is>
          <t>활용도구</t>
        </is>
      </c>
      <c r="D15" s="180" t="inlineStr">
        <is>
          <t>파일 위치</t>
        </is>
      </c>
      <c r="E15" s="180" t="inlineStr">
        <is>
          <t>핵심포인트 / 주의할 점</t>
        </is>
      </c>
      <c r="F15" s="180" t="inlineStr">
        <is>
          <t>확인방법</t>
        </is>
      </c>
      <c r="G15" s="180" t="inlineStr">
        <is>
          <t>완료</t>
        </is>
      </c>
    </row>
    <row r="16" ht="48" customHeight="1" s="89">
      <c r="A16" s="181" t="n">
        <v>1</v>
      </c>
      <c r="B16" s="182" t="inlineStr">
        <is>
          <t>Reservation.bookable_unit_type(PROPERTY/ROOM/BED) 설계</t>
        </is>
      </c>
      <c r="C16" s="182" t="inlineStr">
        <is>
          <t>Gemini(검토보조)</t>
        </is>
      </c>
      <c r="D16" s="182" t="inlineStr">
        <is>
          <t>docs/3rd_host_ai_db_spec_v1.md (2.2 PROPERTIES / 2.6 RESERVATIONS)</t>
        </is>
      </c>
      <c r="E16" s="182" t="inlineStr">
        <is>
          <t>▶ PROPERTY/ROOM/BED 3종 판매단위를 하나의 Reservation 테이블로 표현
⚠ 이 값과 room_id/bed_id 실사용 일치여부는 DB CHECK로 못 잡음(다른 테이블이라 PostgreSQL 일반 CHECK 불가) — 반드시 애플리케이션 검증 필요</t>
        </is>
      </c>
      <c r="F16" s="182" t="inlineStr">
        <is>
          <t>bookable_unit_type=PROPERTY인데 room_id가 채워진 예약을 일부러 넣어보고 애플리케이션이 막는지 테스트</t>
        </is>
      </c>
      <c r="G16" s="181" t="inlineStr">
        <is>
          <t>☑</t>
        </is>
      </c>
    </row>
    <row r="17" ht="48" customHeight="1" s="89">
      <c r="A17" s="181" t="n">
        <v>2</v>
      </c>
      <c r="B17" s="182" t="inlineStr">
        <is>
          <t>PROPERTY 단위 예약시 하위 Room 전체 블록 인터셉터 로직 정의(본인 3룸숙소 실제케이스)</t>
        </is>
      </c>
      <c r="C17" s="182" t="inlineStr">
        <is>
          <t>Gemini(검토보조)</t>
        </is>
      </c>
      <c r="D17" s="182" t="inlineStr">
        <is>
          <t>docs/3rd_host_ai_db_spec_v1.md (2.6.1 예약 겹침 방지)</t>
        </is>
      </c>
      <c r="E17" s="182" t="inlineStr">
        <is>
          <t>▶ 본인 3룸숙소의 실제 운영형태(통대여)를 반영하는 핵심 로직
⚠ EXCLUDE 제약만으로는 PROPERTY예약↔ROOM/BED예약 교차충돌을 못 막음 — 반드시 트랜잭션 검증 코드로 방어</t>
        </is>
      </c>
      <c r="F17" s="182" t="inlineStr">
        <is>
          <t>3룸 전체예약 확정 후 그 중 방 1개만 별도 예약 시도 → 반드시 차단되는지 확인</t>
        </is>
      </c>
      <c r="G17" s="181" t="inlineStr">
        <is>
          <t>☑</t>
        </is>
      </c>
    </row>
    <row r="18" ht="48" customHeight="1" s="89">
      <c r="A18" s="181" t="n">
        <v>3</v>
      </c>
      <c r="B18" s="182" t="inlineStr">
        <is>
          <t>reservation_status / refund_status 분리 설계</t>
        </is>
      </c>
      <c r="C18" s="182" t="inlineStr">
        <is>
          <t>Gemini(검토보조)</t>
        </is>
      </c>
      <c r="D18" s="182" t="inlineStr">
        <is>
          <t>docs/3rd_host_ai_db_spec_v1.md (2.6 RESERVATIONS 컬럼)</t>
        </is>
      </c>
      <c r="E18" s="182" t="inlineStr">
        <is>
          <t>▶ '투숙완료(COMPLETED)'와 '부분환불(PARTIAL)'을 동시에 표현할 수 있어야 함
⚠ 하나의 status 컬럼으로 합치면 이 조합 자체를 표현할 수 없음</t>
        </is>
      </c>
      <c r="F18" s="182" t="inlineStr">
        <is>
          <t>COMPLETED+PARTIAL 조합을 실제로 저장해보고 정상 저장되는지 확인</t>
        </is>
      </c>
      <c r="G18" s="181" t="inlineStr">
        <is>
          <t>☑</t>
        </is>
      </c>
    </row>
    <row r="19" ht="48" customHeight="1" s="89">
      <c r="A19" s="181" t="n">
        <v>4</v>
      </c>
      <c r="B19" s="182" t="inlineStr">
        <is>
          <t>Reservation CHECK 제약(bookable_unit_type↔room_id/bed_id 조합) 확정</t>
        </is>
      </c>
      <c r="C19" s="182" t="inlineStr">
        <is>
          <t>Claude(대화보조)</t>
        </is>
      </c>
      <c r="D19" s="182" t="inlineStr">
        <is>
          <t>docs/3rd_host_ai_db_spec_v1.md (2.2 PROPERTIES / 2.6 RESERVATIONS)</t>
        </is>
      </c>
      <c r="E19" s="182" t="inlineStr">
        <is>
          <t>▶ room_id/bed_id 조합의 '내부 형태'만 DB가 검증 가능
⚠ PostgreSQL CHECK는 다른 테이블(PROPERTIES) 값을 볼 수 없음 — bookable_unit_type과의 교차일치는 앱 책임임을 반드시 인지</t>
        </is>
      </c>
      <c r="F19" s="182" t="inlineStr">
        <is>
          <t>유효하지 않은 조합(bed_id만 있고 room_id는 NULL 등) INSERT 시도 → DB가 거부하는지</t>
        </is>
      </c>
      <c r="G19" s="181" t="inlineStr">
        <is>
          <t>☑</t>
        </is>
      </c>
    </row>
    <row r="20" ht="48" customHeight="1" s="89">
      <c r="A20" s="181" t="n">
        <v>5</v>
      </c>
      <c r="B20" s="182" t="inlineStr">
        <is>
          <t>ROOMS/BEDS 계층 복합FK+UNIQUE + Reservation↔Channel/Room/Bed 동일Property 보장(통합확정)</t>
        </is>
      </c>
      <c r="C20" s="182" t="inlineStr">
        <is>
          <t>Claude(대화보조)</t>
        </is>
      </c>
      <c r="D20" s="182" t="inlineStr">
        <is>
          <t>docs/3rd_host_ai_db_spec_v1.md (2.3 ROOMS / 2.4 BEDS / 2.6 RESERVATIONS (A))</t>
        </is>
      </c>
      <c r="E20" s="182" t="inlineStr">
        <is>
          <t>▶ 다른 숙소 소속 Room을 잘못 참조하는 데이터오염을 DB가 원천 차단
⚠ UNIQUE(room_id,property_id)는 중복방지용이 아니라 복합FK 참조용 후보키 — room_name/bed_label UNIQUE가 실제 중복방지 역할</t>
        </is>
      </c>
      <c r="F20" s="182" t="inlineStr">
        <is>
          <t>Property A 소속 room_id를 Property B의 예약에 넣어보고 FK 위반으로 거부되는지 확인</t>
        </is>
      </c>
      <c r="G20" s="181" t="inlineStr">
        <is>
          <t>☑</t>
        </is>
      </c>
    </row>
    <row r="21" ht="48" customHeight="1" s="89">
      <c r="A21" s="181" t="n">
        <v>6</v>
      </c>
      <c r="B21" s="182" t="inlineStr">
        <is>
          <t>UNIQUE 복합제약 3종 확정(channel_connection_id+external_uid / property_id+target_month / property_id+channel)</t>
        </is>
      </c>
      <c r="C21" s="182" t="inlineStr">
        <is>
          <t>Gemini(검토보조)</t>
        </is>
      </c>
      <c r="D21" s="182" t="inlineStr">
        <is>
          <t>docs/3rd_host_ai_db_spec_v1.md (2.5 / 2.6 / 2.8절)</t>
        </is>
      </c>
      <c r="E21" s="182" t="inlineStr">
        <is>
          <t>▶ 플랫폼별 예약UID/월별정산/채널연결 각각 중복 방지
⚠ 채널당 연결 1개 제한은 이번 MVP 한정 — 향후 여러 리스팅 대응은 2차 과제</t>
        </is>
      </c>
      <c r="F21" s="182" t="inlineStr">
        <is>
          <t>같은 property+channel 조합을 2번 생성 시도했을 때 에러가 나는지 확인</t>
        </is>
      </c>
      <c r="G21" s="181" t="inlineStr">
        <is>
          <t>☑</t>
        </is>
      </c>
    </row>
    <row r="22" ht="48" customHeight="1" s="89">
      <c r="A22" s="181" t="n">
        <v>7</v>
      </c>
      <c r="B22" s="182" t="inlineStr">
        <is>
          <t>INQUIRY_RESPONSES 1:N + is_latest 플래그 설계 확정</t>
        </is>
      </c>
      <c r="C22" s="182" t="inlineStr">
        <is>
          <t>Gemini(검토보조)</t>
        </is>
      </c>
      <c r="D22" s="182" t="inlineStr">
        <is>
          <t>docs/3rd_host_ai_db_spec_v1.md (2.12 INQUIRY_RESPONSES)</t>
        </is>
      </c>
      <c r="E22" s="182" t="inlineStr">
        <is>
          <t>▶ 재시도/재답변 이력을 보존하는 1:N + is_latest 구조
⚠ 새 응답을 만들 때 기존 is_latest를 먼저 false로 바꾸는 걸 빠뜨리면 부분UNIQUE 인덱스 위반 에러 발생</t>
        </is>
      </c>
      <c r="F22" s="182" t="inlineStr">
        <is>
          <t>같은 문의에 응답 2번 생성 후 is_latest=true인 행이 정확히 1개인지 쿼리로 확인</t>
        </is>
      </c>
      <c r="G22" s="181" t="inlineStr">
        <is>
          <t>☑</t>
        </is>
      </c>
    </row>
    <row r="23" ht="48" customHeight="1" s="89">
      <c r="A23" s="181" t="n">
        <v>8</v>
      </c>
      <c r="B23" s="182" t="inlineStr">
        <is>
          <t>FINANCIAL_CONFIGS→MONTHLY_SETTLEMENTS 관계 제거(스냅샷 분리) 확정</t>
        </is>
      </c>
      <c r="C23" s="182" t="inlineStr">
        <is>
          <t>Gemini(검토보조)</t>
        </is>
      </c>
      <c r="D23" s="182" t="inlineStr">
        <is>
          <t>docs/3rd_host_ai_db_spec_v1.md (2.7 FINANCIAL_CONFIGS / 2.8 MONTHLY_SETTLEMENTS)</t>
        </is>
      </c>
      <c r="E23" s="182" t="inlineStr">
        <is>
          <t>▶ 정산은 스냅샷 — 수수료율이 나중에 바뀌어도 과거 정산결과는 불변이어야 함
⚠ FINANCIAL_CONFIGS와 직접 FK로 연결하면 안 됨. applied_commission_rate 컬럼에 계산 당시 값을 별도로 저장</t>
        </is>
      </c>
      <c r="F23" s="182" t="inlineStr">
        <is>
          <t>수수료율을 0.155→0.16으로 바꾼 뒤, 과거 정산행의 applied_commission_rate가 여전히 0.155인지 확인</t>
        </is>
      </c>
      <c r="G23" s="181" t="inlineStr">
        <is>
          <t>☑</t>
        </is>
      </c>
    </row>
    <row r="24" ht="48" customHeight="1" s="89">
      <c r="A24" s="181" t="n">
        <v>9</v>
      </c>
      <c r="B24" s="182" t="inlineStr">
        <is>
          <t>제출용 기획서 초안 작성(주제/선정이유/일정표/기술스택 — 기존 대화내용 취합)</t>
        </is>
      </c>
      <c r="C24" s="182" t="inlineStr">
        <is>
          <t>Gemini(검토보조)</t>
        </is>
      </c>
      <c r="D24" s="182" t="inlineStr">
        <is>
          <t>docs/project_plan_draft.md (신규생성)</t>
        </is>
      </c>
      <c r="E24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24" s="182" t="inlineStr">
        <is>
          <t>DB명세서 해당 섹션과 실제 반영내용을 나란히 놓고 비교</t>
        </is>
      </c>
      <c r="G24" s="181" t="inlineStr">
        <is>
          <t>☑</t>
        </is>
      </c>
    </row>
    <row r="25" ht="109.5" customHeight="1" s="89">
      <c r="A25" s="183" t="inlineStr">
        <is>
          <t>🎬 오늘의 시나리오</t>
        </is>
      </c>
      <c r="B25" s="184" t="n"/>
      <c r="C25" s="183" t="inlineStr">
        <is>
          <t>[상황] 같은 시스템에서 강남(통예약)과 홍대(방단위예약)를 동시 처리해야 함
[동작] ① bookable_unit_type을 PROPERTY/ROOM/BED 3종으로 확정 ② 예약 생성시 이 값에 따라 room_id/bed_id 필수여부가 자동 결정
[원칙 없었다면] 판매단위 구분이 없으면 강남 통예약 중 방 하나만 따로 예약받는 사고를 시스템이 못 막음</t>
        </is>
      </c>
      <c r="D25" s="185" t="n"/>
      <c r="E25" s="185" t="n"/>
      <c r="F25" s="185" t="n"/>
      <c r="G25" s="184" t="n"/>
    </row>
    <row r="26" ht="19.5" customHeight="1" s="89">
      <c r="A26" s="186" t="inlineStr">
        <is>
          <t>🌅 아침 크로스체크</t>
        </is>
      </c>
      <c r="B26" s="184" t="n"/>
      <c r="C26" s="186" t="inlineStr">
        <is>
          <t>☑ 전날 순서대로 실행됨  ☑ 위 작업 전부 완료  ☑ git commit 완료  ☑ 전날 백업 실행(backup_push.ps1/.bat 더블클릭 → git push+Desktop 미러백업)</t>
        </is>
      </c>
      <c r="D26" s="185" t="n"/>
      <c r="E26" s="185" t="n"/>
      <c r="F26" s="184" t="n"/>
      <c r="G26" s="186" t="inlineStr">
        <is>
          <t>메모:</t>
        </is>
      </c>
    </row>
    <row r="28" ht="24" customHeight="1" s="89">
      <c r="A28" s="178" t="inlineStr">
        <is>
          <t>📅 2026-09-02(수)  ·  3일차  ·  작업 12건</t>
        </is>
      </c>
    </row>
    <row r="29" ht="18" customHeight="1" s="89">
      <c r="A29" s="179" t="inlineStr">
        <is>
          <t>🎯 오늘의 타이틀: financial_status(ESTIMATED/CONFIRMED/MANUALLY_ADJUSTED) 필드 설계</t>
        </is>
      </c>
    </row>
    <row r="30" ht="15" customHeight="1" s="89">
      <c r="A30" s="180" t="inlineStr">
        <is>
          <t>순서</t>
        </is>
      </c>
      <c r="B30" s="180" t="inlineStr">
        <is>
          <t>세부 작업</t>
        </is>
      </c>
      <c r="C30" s="180" t="inlineStr">
        <is>
          <t>활용도구</t>
        </is>
      </c>
      <c r="D30" s="180" t="inlineStr">
        <is>
          <t>파일 위치</t>
        </is>
      </c>
      <c r="E30" s="180" t="inlineStr">
        <is>
          <t>핵심포인트 / 주의할 점</t>
        </is>
      </c>
      <c r="F30" s="180" t="inlineStr">
        <is>
          <t>확인방법</t>
        </is>
      </c>
      <c r="G30" s="180" t="inlineStr">
        <is>
          <t>완료</t>
        </is>
      </c>
    </row>
    <row r="31" ht="48" customHeight="1" s="89">
      <c r="A31" s="181" t="n">
        <v>1</v>
      </c>
      <c r="B31" s="182" t="inlineStr">
        <is>
          <t>financial_status(ESTIMATED/CONFIRMED/MANUALLY_ADJUSTED) 필드 설계</t>
        </is>
      </c>
      <c r="C31" s="182" t="inlineStr">
        <is>
          <t>Gemini(검토보조)</t>
        </is>
      </c>
      <c r="D31" s="182" t="inlineStr">
        <is>
          <t>docs/3rd_host_ai_db_spec_v1.md (2.6 RESERVATIONS 컬럼)</t>
        </is>
      </c>
      <c r="E31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1" s="182" t="inlineStr">
        <is>
          <t>DB명세서 해당 섹션과 실제 반영내용을 나란히 놓고 비교</t>
        </is>
      </c>
      <c r="G31" s="181" t="inlineStr">
        <is>
          <t>☑</t>
        </is>
      </c>
    </row>
    <row r="32" ht="48" customHeight="1" s="89">
      <c r="A32" s="181" t="n">
        <v>2</v>
      </c>
      <c r="B32" s="182" t="inlineStr">
        <is>
          <t>날짜 5종 분리 확정(booked_at/check_in/check_out/expected_settlement_at/actual_settlement_at)</t>
        </is>
      </c>
      <c r="C32" s="182" t="inlineStr">
        <is>
          <t>Gemini(검토보조)</t>
        </is>
      </c>
      <c r="D32" s="182" t="inlineStr">
        <is>
          <t>docs/3rd_host_ai_db_spec_v1.md (2.6 RESERVATIONS 컬럼)</t>
        </is>
      </c>
      <c r="E32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2" s="182" t="inlineStr">
        <is>
          <t>DB명세서 해당 섹션과 실제 반영내용을 나란히 놓고 비교</t>
        </is>
      </c>
      <c r="G32" s="181" t="inlineStr">
        <is>
          <t>☑</t>
        </is>
      </c>
    </row>
    <row r="33" ht="48" customHeight="1" s="89">
      <c r="A33" s="181" t="n">
        <v>3</v>
      </c>
      <c r="B33" s="182" t="inlineStr">
        <is>
          <t>ChannelConnection 모델 설계(channel/external_property_id/sync_status/last_synced_at)</t>
        </is>
      </c>
      <c r="C33" s="182" t="inlineStr">
        <is>
          <t>Gemini(검토보조)</t>
        </is>
      </c>
      <c r="D33" s="182" t="inlineStr">
        <is>
          <t>docs/3rd_host_ai_db_spec_v1.md (2.6 RESERVATIONS 컬럼)</t>
        </is>
      </c>
      <c r="E33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3" s="182" t="inlineStr">
        <is>
          <t>DB명세서 해당 섹션과 실제 반영내용을 나란히 놓고 비교</t>
        </is>
      </c>
      <c r="G33" s="181" t="inlineStr">
        <is>
          <t>☑</t>
        </is>
      </c>
    </row>
    <row r="34" ht="48" customHeight="1" s="89">
      <c r="A34" s="181" t="n">
        <v>4</v>
      </c>
      <c r="B34" s="182" t="inlineStr">
        <is>
          <t>ChecklistTemplate.renewal_trigger_type(NONE/EXPIRATION_BASED/EVENT_BASED) 필드 추가</t>
        </is>
      </c>
      <c r="C34" s="182" t="inlineStr">
        <is>
          <t>Gemini(검토보조)</t>
        </is>
      </c>
      <c r="D34" s="182" t="inlineStr">
        <is>
          <t>docs/3rd_host_ai_db_spec_v1.md (2.16 CHECKLIST_ITEMS)</t>
        </is>
      </c>
      <c r="E34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4" s="182" t="inlineStr">
        <is>
          <t>DB명세서 해당 섹션과 실제 반영내용을 나란히 놓고 비교</t>
        </is>
      </c>
      <c r="G34" s="181" t="inlineStr">
        <is>
          <t>☑</t>
        </is>
      </c>
    </row>
    <row r="35" ht="48" customHeight="1" s="89">
      <c r="A35" s="181" t="n">
        <v>5</v>
      </c>
      <c r="B35" s="182" t="inlineStr">
        <is>
          <t>Property 단위 데이터 격리 원칙 확정(KB/Reservation/Checklist/SmartLock 전체)</t>
        </is>
      </c>
      <c r="C35" s="182" t="inlineStr">
        <is>
          <t>Claude(대화보조)</t>
        </is>
      </c>
      <c r="D35" s="182" t="inlineStr">
        <is>
          <t>docs/3rd_host_ai_db_spec_v1.md (4.0절 DB보장/앱보장 구분)</t>
        </is>
      </c>
      <c r="E35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5" s="182" t="inlineStr">
        <is>
          <t>DB명세서 해당 섹션과 실제 반영내용을 나란히 놓고 비교</t>
        </is>
      </c>
      <c r="G35" s="181" t="inlineStr">
        <is>
          <t>☑</t>
        </is>
      </c>
    </row>
    <row r="36" ht="48" customHeight="1" s="89">
      <c r="A36" s="181" t="n">
        <v>6</v>
      </c>
      <c r="B36" s="182" t="inlineStr">
        <is>
          <t>ACTION_ITEMS 중복생성 idempotency 정책 문서화(동일 reservation_id+category+OPEN 재사용)</t>
        </is>
      </c>
      <c r="C36" s="182" t="inlineStr">
        <is>
          <t>Gemini(검토보조)</t>
        </is>
      </c>
      <c r="D36" s="182" t="inlineStr">
        <is>
          <t>docs/3rd_host_ai_db_spec_v1.md (해당 섹션)</t>
        </is>
      </c>
      <c r="E36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6" s="182" t="inlineStr">
        <is>
          <t>DB명세서 해당 섹션과 실제 반영내용을 나란히 놓고 비교</t>
        </is>
      </c>
      <c r="G36" s="181" t="inlineStr">
        <is>
          <t>☑</t>
        </is>
      </c>
    </row>
    <row r="37" ht="48" customHeight="1" s="89">
      <c r="A37" s="181" t="n">
        <v>7</v>
      </c>
      <c r="B37" s="182" t="inlineStr">
        <is>
          <t>risk_level '규칙기반 우선순위'로 문서화(법적판단 아님 명시)</t>
        </is>
      </c>
      <c r="C37" s="182" t="inlineStr">
        <is>
          <t>Gemini(검토보조)</t>
        </is>
      </c>
      <c r="D37" s="182" t="inlineStr">
        <is>
          <t>docs/3rd_host_ai_db_spec_v1.md (해당 섹션)</t>
        </is>
      </c>
      <c r="E37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7" s="182" t="inlineStr">
        <is>
          <t>DB명세서 해당 섹션과 실제 반영내용을 나란히 놓고 비교</t>
        </is>
      </c>
      <c r="G37" s="181" t="inlineStr">
        <is>
          <t>☑</t>
        </is>
      </c>
    </row>
    <row r="38" ht="48" customHeight="1" s="89">
      <c r="A38" s="181" t="n">
        <v>8</v>
      </c>
      <c r="B38" s="182" t="inlineStr">
        <is>
          <t>인덱스 요구사항 목록화(property_id 계열 전체+ActionCenter 복합인덱스, 실제생성은 9/5)</t>
        </is>
      </c>
      <c r="C38" s="182" t="inlineStr">
        <is>
          <t>Gemini(검토보조)</t>
        </is>
      </c>
      <c r="D38" s="182" t="inlineStr">
        <is>
          <t>docs/3rd_host_ai_db_spec_v1.md (해당 섹션)</t>
        </is>
      </c>
      <c r="E38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8" s="182" t="inlineStr">
        <is>
          <t>DB명세서 해당 섹션과 실제 반영내용을 나란히 놓고 비교</t>
        </is>
      </c>
      <c r="G38" s="181" t="inlineStr">
        <is>
          <t>☑</t>
        </is>
      </c>
    </row>
    <row r="39" ht="48" customHeight="1" s="89">
      <c r="A39" s="181" t="n">
        <v>9</v>
      </c>
      <c r="B39" s="182" t="inlineStr">
        <is>
          <t>DB명세서↔ERD↔체크리스트 3문서 최종 동기화 확인</t>
        </is>
      </c>
      <c r="C39" s="182" t="inlineStr">
        <is>
          <t>Claude(대화보조)</t>
        </is>
      </c>
      <c r="D39" s="182" t="inlineStr">
        <is>
          <t>docs/erd.md 또는 mermaid 다이어그램(신규)</t>
        </is>
      </c>
      <c r="E39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39" s="182" t="inlineStr">
        <is>
          <t>DB명세서 해당 섹션과 실제 반영내용을 나란히 놓고 비교</t>
        </is>
      </c>
      <c r="G39" s="181" t="inlineStr">
        <is>
          <t>☑</t>
        </is>
      </c>
    </row>
    <row r="40" ht="48" customHeight="1" s="89">
      <c r="A40" s="181" t="n">
        <v>10</v>
      </c>
      <c r="B40" s="182" t="inlineStr">
        <is>
          <t>기획서 최종 검토 및 다듬기</t>
        </is>
      </c>
      <c r="C40" s="182" t="inlineStr">
        <is>
          <t>Claude(대화보조)</t>
        </is>
      </c>
      <c r="D40" s="182" t="inlineStr">
        <is>
          <t>docs/project_plan_draft.md (신규생성)</t>
        </is>
      </c>
      <c r="E40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40" s="182" t="inlineStr">
        <is>
          <t>DB명세서 해당 섹션과 실제 반영내용을 나란히 놓고 비교</t>
        </is>
      </c>
      <c r="G40" s="181" t="inlineStr">
        <is>
          <t>☑</t>
        </is>
      </c>
    </row>
    <row r="41" ht="48" customHeight="1" s="89">
      <c r="A41" s="181" t="n">
        <v>11</v>
      </c>
      <c r="B41" s="182" t="inlineStr">
        <is>
          <t>Azure Cloud 서비스 확인 완료 → Render로 최종 확정(Azure 전환 안함)</t>
        </is>
      </c>
      <c r="C41" s="182" t="inlineStr">
        <is>
          <t>Claude(대화보조)</t>
        </is>
      </c>
      <c r="D41" s="182" t="inlineStr">
        <is>
          <t>클라우드 콘솔(파일 아님) — Azure Portal / Google AI Studio</t>
        </is>
      </c>
      <c r="E41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41" s="182" t="inlineStr">
        <is>
          <t>DB명세서 해당 섹션과 실제 반영내용을 나란히 놓고 비교</t>
        </is>
      </c>
      <c r="G41" s="181" t="inlineStr">
        <is>
          <t>☑</t>
        </is>
      </c>
    </row>
    <row r="42" ht="48" customHeight="1" s="89">
      <c r="A42" s="181" t="n">
        <v>12</v>
      </c>
      <c r="B42" s="182" t="inlineStr">
        <is>
          <t>Google AI Studio 무료 Gemini API키 미리 발급(백업용, 5분 소요, 스택변경 아님)</t>
        </is>
      </c>
      <c r="C42" s="182" t="inlineStr">
        <is>
          <t>Claude(대화보조)</t>
        </is>
      </c>
      <c r="D42" s="182" t="inlineStr">
        <is>
          <t>클라우드 콘솔(파일 아님) — Azure Portal / Google AI Studio</t>
        </is>
      </c>
      <c r="E42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42" s="182" t="inlineStr">
        <is>
          <t>DB명세서 해당 섹션과 실제 반영내용을 나란히 놓고 비교</t>
        </is>
      </c>
      <c r="G42" s="181" t="inlineStr">
        <is>
          <t>☑</t>
        </is>
      </c>
    </row>
    <row r="43" ht="109.5" customHeight="1" s="89">
      <c r="A43" s="183" t="inlineStr">
        <is>
          <t>🎬 오늘의 시나리오</t>
        </is>
      </c>
      <c r="B43" s="184" t="n"/>
      <c r="C43" s="183" t="inlineStr">
        <is>
          <t>[상황] 정산 화면에 표시되는 금액이 확정된 건지 추정치인지 게스트/호스트 둘 다 헷갈리기 쉬움
[동작] ① financial_status를 ESTIMATED/CONFIRMED/MANUALLY_ADJUSTED 3종으로 분리 ② 화면에 상태별 뱃지로 명확히 구분 표시
[원칙 없었다면] 상태 구분 없이 숫자만 보여주면, 아직 확정 안 된 예상금액을 실수령액으로 착각하는 사고 발생</t>
        </is>
      </c>
      <c r="D43" s="185" t="n"/>
      <c r="E43" s="185" t="n"/>
      <c r="F43" s="185" t="n"/>
      <c r="G43" s="184" t="n"/>
    </row>
    <row r="44" ht="19.5" customHeight="1" s="89">
      <c r="A44" s="186" t="inlineStr">
        <is>
          <t>🌅 아침 크로스체크</t>
        </is>
      </c>
      <c r="B44" s="184" t="n"/>
      <c r="C44" s="186" t="inlineStr">
        <is>
          <t>☑ 전날 순서대로 실행됨  ☑ 위 작업 전부 완료  ☑ git commit 완료  ☑ 전날 백업 실행(backup_push.ps1/.bat 더블클릭 → git push+Desktop 미러백업)</t>
        </is>
      </c>
      <c r="D44" s="185" t="n"/>
      <c r="E44" s="185" t="n"/>
      <c r="F44" s="184" t="n"/>
      <c r="G44" s="186" t="inlineStr">
        <is>
          <t>메모:</t>
        </is>
      </c>
    </row>
    <row r="46" ht="24" customHeight="1" s="89">
      <c r="A46" s="178" t="inlineStr">
        <is>
          <t>📅 2026-09-03(목)  ·  4일차  ·  작업 4건</t>
        </is>
      </c>
    </row>
    <row r="47" ht="18" customHeight="1" s="89">
      <c r="A47" s="179" t="inlineStr">
        <is>
          <t>🎯 오늘의 타이틀: ✅ 기획서 제출(오전 11시 마감 — 주제/선정이유/일정표/기술스택 포함)</t>
        </is>
      </c>
    </row>
    <row r="48" ht="15" customHeight="1" s="89">
      <c r="A48" s="180" t="inlineStr">
        <is>
          <t>순서</t>
        </is>
      </c>
      <c r="B48" s="180" t="inlineStr">
        <is>
          <t>세부 작업</t>
        </is>
      </c>
      <c r="C48" s="180" t="inlineStr">
        <is>
          <t>활용도구</t>
        </is>
      </c>
      <c r="D48" s="180" t="inlineStr">
        <is>
          <t>파일 위치</t>
        </is>
      </c>
      <c r="E48" s="180" t="inlineStr">
        <is>
          <t>핵심포인트 / 주의할 점</t>
        </is>
      </c>
      <c r="F48" s="180" t="inlineStr">
        <is>
          <t>확인방법</t>
        </is>
      </c>
      <c r="G48" s="180" t="inlineStr">
        <is>
          <t>완료</t>
        </is>
      </c>
    </row>
    <row r="49" ht="48" customHeight="1" s="89">
      <c r="A49" s="181" t="n">
        <v>1</v>
      </c>
      <c r="B49" s="182" t="inlineStr">
        <is>
          <t>✅ 기획서 제출(오전 11시 마감 — 주제/선정이유/일정표/기술스택 포함)</t>
        </is>
      </c>
      <c r="C49" s="182" t="inlineStr">
        <is>
          <t>Claude(대화보조)</t>
        </is>
      </c>
      <c r="D49" s="182" t="inlineStr">
        <is>
          <t>docs/project_plan_draft.md (신규생성)</t>
        </is>
      </c>
      <c r="E49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49" s="182" t="inlineStr">
        <is>
          <t>DB명세서 해당 섹션과 실제 반영내용을 나란히 놓고 비교</t>
        </is>
      </c>
      <c r="G49" s="181" t="inlineStr">
        <is>
          <t>☑</t>
        </is>
      </c>
    </row>
    <row r="50" ht="48" customHeight="1" s="89">
      <c r="A50" s="181" t="n">
        <v>2</v>
      </c>
      <c r="B50" s="182" t="inlineStr">
        <is>
          <t>ERD 다이어그램 작성(전체 엔티티 관계도)</t>
        </is>
      </c>
      <c r="C50" s="182" t="inlineStr">
        <is>
          <t>Gemini(검토보조)</t>
        </is>
      </c>
      <c r="D50" s="182" t="inlineStr">
        <is>
          <t>docs/erd.md 또는 mermaid 다이어그램(신규)</t>
        </is>
      </c>
      <c r="E50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50" s="182" t="inlineStr">
        <is>
          <t>DB명세서 해당 섹션과 실제 반영내용을 나란히 놓고 비교</t>
        </is>
      </c>
      <c r="G50" s="181" t="inlineStr">
        <is>
          <t>☑</t>
        </is>
      </c>
    </row>
    <row r="51" ht="48" customHeight="1" s="89">
      <c r="A51" s="181" t="n">
        <v>3</v>
      </c>
      <c r="B51" s="182" t="inlineStr">
        <is>
          <t>API Contract(엔드포인트 목록·요청/응답 스펙) 정의</t>
        </is>
      </c>
      <c r="C51" s="182" t="inlineStr">
        <is>
          <t>Gemini(검토보조)</t>
        </is>
      </c>
      <c r="D51" s="182" t="inlineStr">
        <is>
          <t>docs/api_contract.md (신규생성)</t>
        </is>
      </c>
      <c r="E51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51" s="182" t="inlineStr">
        <is>
          <t>DB명세서 해당 섹션과 실제 반영내용을 나란히 놓고 비교</t>
        </is>
      </c>
      <c r="G51" s="181" t="inlineStr">
        <is>
          <t>☑</t>
        </is>
      </c>
    </row>
    <row r="52" ht="48" customHeight="1" s="89">
      <c r="A52" s="181" t="n">
        <v>4</v>
      </c>
      <c r="B52" s="182" t="inlineStr">
        <is>
          <t>상태전이/이벤트 구조 다이어그램 정리(예약→청소→정산→알림 연결)</t>
        </is>
      </c>
      <c r="C52" s="182" t="inlineStr">
        <is>
          <t>Gemini(검토보조)</t>
        </is>
      </c>
      <c r="D52" s="182" t="inlineStr">
        <is>
          <t>docs/3rd_host_ai_db_spec_v1.md (상태전이 섹션 추가)</t>
        </is>
      </c>
      <c r="E52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52" s="182" t="inlineStr">
        <is>
          <t>전체 예약 중 예외건(할인적용 등)만 수동수정하고 나머지는 1클릭으로 끝나는지 확인</t>
        </is>
      </c>
      <c r="G52" s="181" t="inlineStr">
        <is>
          <t>☑</t>
        </is>
      </c>
    </row>
    <row r="53" ht="109.5" customHeight="1" s="89">
      <c r="A53" s="183" t="inlineStr">
        <is>
          <t>🎬 오늘의 시나리오</t>
        </is>
      </c>
      <c r="B53" s="184" t="n"/>
      <c r="C53" s="183" t="inlineStr">
        <is>
          <t>[상황] 부트캠프 3차 파이널 프로젝트 기획서 제출 마감(오전 11시)
[동작] ① 지금까지 확정한 주제·선정이유·일정표·기술스택을 정해진 양식으로 정리 ② 제출 전 최종 오탈자·형식 확인 ③ 마감 전 제출완료
[원칙 없었다면] 지금까지의 설계·크로스체크 노력이 제출 형식 미비로 감점되는 건 가장 아까운 실수</t>
        </is>
      </c>
      <c r="D53" s="185" t="n"/>
      <c r="E53" s="185" t="n"/>
      <c r="F53" s="185" t="n"/>
      <c r="G53" s="184" t="n"/>
    </row>
    <row r="54" ht="19.5" customHeight="1" s="89">
      <c r="A54" s="186" t="inlineStr">
        <is>
          <t>🌅 아침 크로스체크</t>
        </is>
      </c>
      <c r="B54" s="184" t="n"/>
      <c r="C54" s="186" t="inlineStr">
        <is>
          <t>☑ 전날 순서대로 실행됨  ☑ 위 작업 전부 완료  ☑ git commit 완료  ☑ 전날 백업 실행(backup_push.ps1/.bat 더블클릭 → git push+Desktop 미러백업)</t>
        </is>
      </c>
      <c r="D54" s="185" t="n"/>
      <c r="E54" s="185" t="n"/>
      <c r="F54" s="184" t="n"/>
      <c r="G54" s="186" t="inlineStr">
        <is>
          <t>메모:</t>
        </is>
      </c>
    </row>
    <row r="56" ht="24" customHeight="1" s="89">
      <c r="A56" s="178" t="inlineStr">
        <is>
          <t>📅 2026-09-04(금)  ·  5일차  ·  작업 1건</t>
        </is>
      </c>
    </row>
    <row r="57" ht="18" customHeight="1" s="89">
      <c r="A57" s="179" t="inlineStr">
        <is>
          <t>🎯 오늘의 타이틀: ✅ 1단계 검증: 스키마+ERD+API Contract 대조 확인</t>
        </is>
      </c>
    </row>
    <row r="58" ht="15" customHeight="1" s="89">
      <c r="A58" s="180" t="inlineStr">
        <is>
          <t>순서</t>
        </is>
      </c>
      <c r="B58" s="180" t="inlineStr">
        <is>
          <t>세부 작업</t>
        </is>
      </c>
      <c r="C58" s="180" t="inlineStr">
        <is>
          <t>활용도구</t>
        </is>
      </c>
      <c r="D58" s="180" t="inlineStr">
        <is>
          <t>파일 위치</t>
        </is>
      </c>
      <c r="E58" s="180" t="inlineStr">
        <is>
          <t>핵심포인트 / 주의할 점</t>
        </is>
      </c>
      <c r="F58" s="180" t="inlineStr">
        <is>
          <t>확인방법</t>
        </is>
      </c>
      <c r="G58" s="180" t="inlineStr">
        <is>
          <t>완료</t>
        </is>
      </c>
    </row>
    <row r="59" ht="48" customHeight="1" s="89">
      <c r="A59" s="181" t="n">
        <v>1</v>
      </c>
      <c r="B59" s="182" t="inlineStr">
        <is>
          <t>✅ 1단계 검증: 스키마+ERD+API Contract 대조 확인</t>
        </is>
      </c>
      <c r="C59" s="182" t="inlineStr">
        <is>
          <t>Claude(대화보조)</t>
        </is>
      </c>
      <c r="D59" s="182" t="inlineStr">
        <is>
          <t>docs/erd.md 또는 mermaid 다이어그램(신규)</t>
        </is>
      </c>
      <c r="E59" s="182" t="inlineStr">
        <is>
          <t>▶ DB명세서에 이미 결정된 내용을 그대로 반영하는 단계 — 새로 고민하지 않는다
⚠ 임의로 필드나 값을 추가하지 않는다(범위확장 방지 원칙)</t>
        </is>
      </c>
      <c r="F59" s="182" t="inlineStr">
        <is>
          <t>DB명세서 해당 섹션과 실제 반영내용을 나란히 놓고 비교</t>
        </is>
      </c>
      <c r="G59" s="181" t="inlineStr">
        <is>
          <t>☑</t>
        </is>
      </c>
    </row>
    <row r="60" ht="109.5" customHeight="1" s="89">
      <c r="A60" s="183" t="inlineStr">
        <is>
          <t>🎬 오늘의 시나리오</t>
        </is>
      </c>
      <c r="B60" s="184" t="n"/>
      <c r="C60" s="183" t="inlineStr">
        <is>
          <t>[상황] 1단계(데이터모델 설계)를 마무리하고 2단계로 넘어가기 전 마지막 관문
[동작] ① DB명세서·ERD·API Contract 3개 문서를 서로 대조 ② 불일치 발견시 즉시 정정 ③ 전부 일치해야 Freeze 선언
[원칙 없었다면] 검증 없이 넘어가면 2단계 구현 중간에 스키마 오류를 뒤늦게 발견해 대대적 재작업 필요</t>
        </is>
      </c>
      <c r="D60" s="185" t="n"/>
      <c r="E60" s="185" t="n"/>
      <c r="F60" s="185" t="n"/>
      <c r="G60" s="184" t="n"/>
    </row>
    <row r="61" ht="19.5" customHeight="1" s="89">
      <c r="A61" s="187" t="inlineStr">
        <is>
          <t>🌅 아침 크로스체크</t>
        </is>
      </c>
      <c r="B61" s="184" t="n"/>
      <c r="C61" s="187" t="inlineStr">
        <is>
          <t>☑ 전날 순서대로 실행됨  ☑ 위 작업 전부 완료  ☑ git commit 완료  ☑ 전날 백업 실행(backup_push.ps1/.bat 더블클릭 → git push+Desktop 미러백업)  ☑ 검증 체크 완료  ☑ 🔍 오늘은 검증일! DoD 결과 '9단계 검증 체크리스트' 시트에 기록</t>
        </is>
      </c>
      <c r="D61" s="185" t="n"/>
      <c r="E61" s="185" t="n"/>
      <c r="F61" s="184" t="n"/>
      <c r="G61" s="187" t="inlineStr">
        <is>
          <t>메모:</t>
        </is>
      </c>
    </row>
    <row r="63" ht="24" customHeight="1" s="89">
      <c r="A63" s="178" t="inlineStr">
        <is>
          <t>📅 2026-09-05(토)  ·  6일차  ·  작업 5건</t>
        </is>
      </c>
    </row>
    <row r="64" ht="18" customHeight="1" s="89">
      <c r="A64" s="179" t="inlineStr">
        <is>
          <t>🎯 오늘의 타이틀: 로컬 개발 DB를 Docker Postgres로 전환 결정 및 세팅(MariaDB 대신, 문법불일치 리스크 원천차단)</t>
        </is>
      </c>
    </row>
    <row r="65" ht="15" customHeight="1" s="89">
      <c r="A65" s="180" t="inlineStr">
        <is>
          <t>순서</t>
        </is>
      </c>
      <c r="B65" s="180" t="inlineStr">
        <is>
          <t>세부 작업</t>
        </is>
      </c>
      <c r="C65" s="180" t="inlineStr">
        <is>
          <t>활용도구</t>
        </is>
      </c>
      <c r="D65" s="180" t="inlineStr">
        <is>
          <t>파일 위치</t>
        </is>
      </c>
      <c r="E65" s="180" t="inlineStr">
        <is>
          <t>핵심포인트 / 주의할 점</t>
        </is>
      </c>
      <c r="F65" s="180" t="inlineStr">
        <is>
          <t>확인방법</t>
        </is>
      </c>
      <c r="G65" s="180" t="inlineStr">
        <is>
          <t>완료</t>
        </is>
      </c>
    </row>
    <row r="66" ht="48" customHeight="1" s="89">
      <c r="A66" s="181" t="n">
        <v>1</v>
      </c>
      <c r="B66" s="182" t="inlineStr">
        <is>
          <t>로컬 개발 DB를 Docker Postgres로 전환 결정 및 세팅(MariaDB 대신, 문법불일치 리스크 원천차단)</t>
        </is>
      </c>
      <c r="C66" s="182" t="inlineStr">
        <is>
          <t>Claude Code(직접실행)</t>
        </is>
      </c>
      <c r="D66" s="182" t="inlineStr">
        <is>
          <t>backend/docker-compose.yml, backend/.env</t>
        </is>
      </c>
      <c r="E66" s="182" t="inlineStr">
        <is>
          <t>▶ MariaDB 대신 로컬 개발부터 Postgres로 통일해 배포환경 이원화 리스크 원천 차단
⚠ Supabase의 기본 Postgres 버전과 로컬 Docker 이미지 버전을 반드시 맞출 것(dev/prod parity)</t>
        </is>
      </c>
      <c r="F66" s="182" t="inlineStr">
        <is>
          <t>docker exec로 확인한 로컬 postgres 버전과 Supabase 대시보드에 표시된 버전이 같은지 비교</t>
        </is>
      </c>
      <c r="G66" s="181" t="inlineStr">
        <is>
          <t>☑</t>
        </is>
      </c>
    </row>
    <row r="67" ht="48" customHeight="1" s="89">
      <c r="A67" s="181" t="n">
        <v>2</v>
      </c>
      <c r="B67" s="182" t="inlineStr">
        <is>
          <t>DB 스키마 구현(위 P0 설계 반영)</t>
        </is>
      </c>
      <c r="C67" s="182" t="inlineStr">
        <is>
          <t>Claude Code(직접실행)</t>
        </is>
      </c>
      <c r="D67" s="182" t="inlineStr">
        <is>
          <t>backend/app/models/ (전체)</t>
        </is>
      </c>
      <c r="E67" s="182" t="inlineStr">
        <is>
          <t>▶ 로컬 Docker와 배포(Supabase) PostgreSQL 메이저 버전을 반드시 맞출 것(9/5에 16≠17로 어긋난 걸 뒤늦게 발견한 전례 있음)
⚠ autogenerate가 pgvector import·CREATE EXTENSION·PG15+ 전용 SET NULL(컬럼목록) 문법을 자동으로 못 잡아냄 — 생성된 마이그레이션 파일을 반드시 직접 열어서 확인 후 upgrade</t>
        </is>
      </c>
      <c r="F67" s="182" t="inlineStr">
        <is>
          <t>docker exec로 psql 접속 → \dt(16개 테이블)·\dx(vector+btree_gist 확장) 확인, pg_constraint.confdelsetcols가 실제 컬럼명과 일치하는지까지 attname으로 재확인</t>
        </is>
      </c>
      <c r="G67" s="181" t="inlineStr">
        <is>
          <t>☑</t>
        </is>
      </c>
    </row>
    <row r="68" ht="48" customHeight="1" s="89">
      <c r="A68" s="181" t="n">
        <v>3</v>
      </c>
      <c r="B68" s="182" t="inlineStr">
        <is>
          <t>GET /health 헬스체크 엔드포인트 구현(DB조회없이 즉시 응답, Render 슬립방지용 UptimeRobot 핑 대상)</t>
        </is>
      </c>
      <c r="C68" s="182" t="inlineStr">
        <is>
          <t>Claude Code(직접실행)</t>
        </is>
      </c>
      <c r="D68" s="182" t="inlineStr">
        <is>
          <t>backend/ 또는 frontend/ (세부 위치는 해당일 착수시 확정)</t>
        </is>
      </c>
      <c r="E68" s="182" t="inlineStr">
        <is>
          <t>▶ Render 무료플랜 슬립방지가 유일한 목적 — 이 라우터에 DB조회(get_db 의존성)를 절대 추가하지 않는다
⚠ uvicorn만 띄워놓고 '됐다'고 넘기지 말 것 — 실제로 서버가 정상 기동해서 요청에 응답하는지까지 확인해야 진짜 완료</t>
        </is>
      </c>
      <c r="F68" s="182" t="inlineStr">
        <is>
          <t>브라우저 또는 curl로 http://localhost:8000/health 직접 열어서 {"status":"ok"}가 실제로 응답오는지 눈으로 확인</t>
        </is>
      </c>
      <c r="G68" s="181" t="inlineStr">
        <is>
          <t>☑</t>
        </is>
      </c>
    </row>
    <row r="69" ht="48" customHeight="1" s="89">
      <c r="A69" s="181" t="n">
        <v>4</v>
      </c>
      <c r="B69" s="182" t="inlineStr">
        <is>
          <t>.env/.gitignore 초기 설정(API키·DB접속정보 분리, git 커밋 전 필수)</t>
        </is>
      </c>
      <c r="C69" s="182" t="inlineStr">
        <is>
          <t>Claude(대화보조)</t>
        </is>
      </c>
      <c r="D69" s="182" t="inlineStr">
        <is>
          <t>클라우드 콘솔(파일 아님) — Azure Portal / Google AI Studio</t>
        </is>
      </c>
      <c r="E69" s="182" t="inlineStr">
        <is>
          <t>▶ API키/DB접속정보를 코드와 분리해 커밋 사고 원천 차단
⚠ 이미 한 번 커밋된 적 있는 .env는 .gitignore에 넣어도 계속 추적됨(별도 제거 필요)</t>
        </is>
      </c>
      <c r="F69" s="182" t="inlineStr">
        <is>
          <t>`git log --all --full-history -- .env` 실행해서 커밋 이력이 비어있는지 확인</t>
        </is>
      </c>
      <c r="G69" s="181" t="inlineStr">
        <is>
          <t>☑</t>
        </is>
      </c>
    </row>
    <row r="70" ht="48" customHeight="1" s="89">
      <c r="A70" s="181" t="n">
        <v>5</v>
      </c>
      <c r="B70" s="182" t="inlineStr">
        <is>
          <t>녹화·편집 환경 설정(OBS 설정+편집툴 확정)</t>
        </is>
      </c>
      <c r="C70" s="182" t="inlineStr">
        <is>
          <t>Gemini(검토보조)</t>
        </is>
      </c>
      <c r="D70" s="182" t="inlineStr">
        <is>
          <t>외부(OBS/Clipchamp), docs/video_recording_setup.md</t>
        </is>
      </c>
      <c r="E70" s="182" t="inlineStr">
        <is>
          <t>▶ Feature Freeze 이후에는 로직 변경 없이 텍스트·설정만 수정
⚠ 제출 직전 급하게 뭔가 더 고치려는 유혹을 참는다</t>
        </is>
      </c>
      <c r="F70" s="182" t="inlineStr">
        <is>
          <t>최종 산출물(배포본/영상/문서)을 처음부터 끝까지 직접 재생·재확인</t>
        </is>
      </c>
      <c r="G70" s="181" t="inlineStr">
        <is>
          <t>☑</t>
        </is>
      </c>
    </row>
    <row r="71" ht="109.5" customHeight="1" s="89">
      <c r="A71" s="183" t="inlineStr">
        <is>
          <t>🎬 오늘의 시나리오</t>
        </is>
      </c>
      <c r="B71" s="184" t="n"/>
      <c r="C71" s="183" t="inlineStr">
        <is>
          <t>[상황] 로컬 개발 환경을 실제 배포 환경(Supabase PostgreSQL)과 최대한 동일하게 맞춰야 함
[동작] ① MariaDB 대신 Docker로 PostgreSQL 15 실행 ② pgvector 확장까지 포함된 이미지로 세팅 ③ 로컬=배포 문법 통일 확인
[원칙 없었다면] 로컬은 MariaDB, 배포는 PostgreSQL로 다르면 나중에 문법 차이로 인한 오류를 배포 직전에야 발견하게 됨</t>
        </is>
      </c>
      <c r="D71" s="185" t="n"/>
      <c r="E71" s="185" t="n"/>
      <c r="F71" s="185" t="n"/>
      <c r="G71" s="184" t="n"/>
    </row>
    <row r="72" ht="19.5" customHeight="1" s="89">
      <c r="A72" s="186" t="inlineStr">
        <is>
          <t>🌅 아침 크로스체크</t>
        </is>
      </c>
      <c r="B72" s="184" t="n"/>
      <c r="C72" s="186" t="inlineStr">
        <is>
          <t>☑ 전날 순서대로 실행됨  ☑ 위 작업 전부 완료  ☑ git commit 완료  ☑ 전날 백업 실행(backup_push.ps1/.bat 더블클릭 → git push+Desktop 미러백업)</t>
        </is>
      </c>
      <c r="D72" s="185" t="n"/>
      <c r="E72" s="185" t="n"/>
      <c r="F72" s="184" t="n"/>
      <c r="G72" s="186" t="inlineStr">
        <is>
          <t>메모:</t>
        </is>
      </c>
    </row>
    <row r="74" ht="24" customHeight="1" s="89">
      <c r="A74" s="178" t="inlineStr">
        <is>
          <t>📅 2026-09-07(월)  ·  7일차  ·  작업 3건</t>
        </is>
      </c>
    </row>
    <row r="75" ht="18" customHeight="1" s="89">
      <c r="A75" s="179" t="inlineStr">
        <is>
          <t>🎯 오늘의 타이틀: 전체 화면목록 확정(로그인·회원가입·온보딩2스텝·대시보드·캘린더·AI인박스·액션센터·청소·정산·컴플라이언스(설정탭)·지식베이스·설정)</t>
        </is>
      </c>
    </row>
    <row r="76" ht="15" customHeight="1" s="89">
      <c r="A76" s="180" t="inlineStr">
        <is>
          <t>순서</t>
        </is>
      </c>
      <c r="B76" s="180" t="inlineStr">
        <is>
          <t>세부 작업</t>
        </is>
      </c>
      <c r="C76" s="180" t="inlineStr">
        <is>
          <t>활용도구</t>
        </is>
      </c>
      <c r="D76" s="180" t="inlineStr">
        <is>
          <t>파일 위치</t>
        </is>
      </c>
      <c r="E76" s="180" t="inlineStr">
        <is>
          <t>핵심포인트 / 주의할 점</t>
        </is>
      </c>
      <c r="F76" s="180" t="inlineStr">
        <is>
          <t>확인방법</t>
        </is>
      </c>
      <c r="G76" s="180" t="inlineStr">
        <is>
          <t>완료</t>
        </is>
      </c>
    </row>
    <row r="77" ht="48" customHeight="1" s="89">
      <c r="A77" s="181" t="n">
        <v>1</v>
      </c>
      <c r="B77" s="182" t="inlineStr">
        <is>
          <t>전체 화면목록 확정(로그인·회원가입·온보딩2스텝·대시보드·캘린더·AI인박스·액션센터·청소·정산·컴플라이언스(설정탭)·지식베이스·설정)</t>
        </is>
      </c>
      <c r="C77" s="182" t="inlineStr">
        <is>
          <t>Gemini(검토보조)</t>
        </is>
      </c>
      <c r="D77" s="182" t="inlineStr">
        <is>
          <t>docs/ui_design.md, docs/ui_wireframe.md</t>
        </is>
      </c>
      <c r="E77" s="182" t="inlineStr">
        <is>
          <t>▶ 빠진 화면이 없는지가 핵심 — 로그인/빈상태 화면을 특히 놓치기 쉬움
⚠ 와이어프레임을 너무 디테일하게 만들지 않는다(시간 낭비, 저해상도로 충분)</t>
        </is>
      </c>
      <c r="F77" s="182" t="inlineStr">
        <is>
          <t>실제 사용 흐름 그대로 클릭 시뮬레이션 해보며 막히는 지점이 있는지 확인</t>
        </is>
      </c>
      <c r="G77" s="181" t="inlineStr">
        <is>
          <t>☑</t>
        </is>
      </c>
    </row>
    <row r="78" ht="48" customHeight="1" s="89">
      <c r="A78" s="181" t="n">
        <v>2</v>
      </c>
      <c r="B78" s="182" t="inlineStr">
        <is>
          <t>핵심 화면 와이어프레임 제작(대시보드·예약모달·AI인박스·정산·온보딩)</t>
        </is>
      </c>
      <c r="C78" s="182" t="inlineStr">
        <is>
          <t>Gemini(검토보조)</t>
        </is>
      </c>
      <c r="D78" s="182" t="inlineStr">
        <is>
          <t>docs/ui_design.md, docs/ui_wireframe.md</t>
        </is>
      </c>
      <c r="E78" s="182" t="inlineStr">
        <is>
          <t>▶ 빠진 화면이 없는지가 핵심 — 로그인/빈상태 화면을 특히 놓치기 쉬움
⚠ 와이어프레임을 너무 디테일하게 만들지 않는다(시간 낭비, 저해상도로 충분)</t>
        </is>
      </c>
      <c r="F78" s="182" t="inlineStr">
        <is>
          <t>실제 사용 흐름 그대로 클릭 시뮬레이션 해보며 막히는 지점이 있는지 확인</t>
        </is>
      </c>
      <c r="G78" s="181" t="inlineStr">
        <is>
          <t>☑</t>
        </is>
      </c>
    </row>
    <row r="79" ht="48" customHeight="1" s="89">
      <c r="A79" s="181" t="n">
        <v>3</v>
      </c>
      <c r="B79" s="182" t="inlineStr">
        <is>
          <t>디자인시스템 공통 컴포넌트 정의(Header/Sidebar/Card/Badge/Modal/Toast/Loading/EmptyState)</t>
        </is>
      </c>
      <c r="C79" s="182" t="inlineStr">
        <is>
          <t>Gemini(검토보조)</t>
        </is>
      </c>
      <c r="D79" s="182" t="inlineStr">
        <is>
          <t>docs/ui_design.md, docs/ui_wireframe.md</t>
        </is>
      </c>
      <c r="E79" s="182" t="inlineStr">
        <is>
          <t>▶ 빠진 화면이 없는지가 핵심 — 로그인/빈상태 화면을 특히 놓치기 쉬움
⚠ 와이어프레임을 너무 디테일하게 만들지 않는다(시간 낭비, 저해상도로 충분)</t>
        </is>
      </c>
      <c r="F79" s="182" t="inlineStr">
        <is>
          <t>실제 사용 흐름 그대로 클릭 시뮬레이션 해보며 막히는 지점이 있는지 확인</t>
        </is>
      </c>
      <c r="G79" s="181" t="inlineStr">
        <is>
          <t>☑</t>
        </is>
      </c>
    </row>
    <row r="80" ht="109.5" customHeight="1" s="89">
      <c r="A80" s="183" t="inlineStr">
        <is>
          <t>🎬 오늘의 시나리오</t>
        </is>
      </c>
      <c r="B80" s="184" t="n"/>
      <c r="C80" s="183" t="inlineStr">
        <is>
          <t>[상황] 코드를 짜기 전에 전체 화면 목록이 먼저 확정되어야 프론트엔드 개발이 헤매지 않음
[동작] ① 로그인부터 설정까지 전체 화면 목록 확정 ② User Flow 다이어그램으로 화면간 이동 흐름 정리
[원칙 없었다면] 설계 없이 바로 코딩하면 화면이 중구난방으로 만들어져 나중에 대대적 재작업 필요</t>
        </is>
      </c>
      <c r="D80" s="185" t="n"/>
      <c r="E80" s="185" t="n"/>
      <c r="F80" s="185" t="n"/>
      <c r="G80" s="184" t="n"/>
    </row>
    <row r="81" ht="19.5" customHeight="1" s="89">
      <c r="A81" s="186" t="inlineStr">
        <is>
          <t>🌅 아침 크로스체크</t>
        </is>
      </c>
      <c r="B81" s="184" t="n"/>
      <c r="C81" s="186" t="inlineStr">
        <is>
          <t>☐ 전날 순서대로 실행됨  ☐ 위 작업 전부 완료  ☐ git commit 완료  ☐ 전날 백업 실행(backup_push.ps1/.bat 더블클릭 → git push+Desktop 미러백업)</t>
        </is>
      </c>
      <c r="D81" s="185" t="n"/>
      <c r="E81" s="185" t="n"/>
      <c r="F81" s="184" t="n"/>
      <c r="G81" s="186" t="inlineStr">
        <is>
          <t>메모:</t>
        </is>
      </c>
    </row>
    <row r="83" ht="24" customHeight="1" s="89">
      <c r="A83" s="178" t="inlineStr">
        <is>
          <t>📅 2026-09-08(화)  ·  8일차  ·  작업 1건</t>
        </is>
      </c>
    </row>
    <row r="84" ht="18" customHeight="1" s="89">
      <c r="A84" s="179" t="inlineStr">
        <is>
          <t>🎯 오늘의 타이틀: 통합 대시보드 뼈대(3~5개 숙소 한눈에 보기)</t>
        </is>
      </c>
    </row>
    <row r="85" ht="15" customHeight="1" s="89">
      <c r="A85" s="180" t="inlineStr">
        <is>
          <t>순서</t>
        </is>
      </c>
      <c r="B85" s="180" t="inlineStr">
        <is>
          <t>세부 작업</t>
        </is>
      </c>
      <c r="C85" s="180" t="inlineStr">
        <is>
          <t>활용도구</t>
        </is>
      </c>
      <c r="D85" s="180" t="inlineStr">
        <is>
          <t>파일 위치</t>
        </is>
      </c>
      <c r="E85" s="180" t="inlineStr">
        <is>
          <t>핵심포인트 / 주의할 점</t>
        </is>
      </c>
      <c r="F85" s="180" t="inlineStr">
        <is>
          <t>확인방법</t>
        </is>
      </c>
      <c r="G85" s="180" t="inlineStr">
        <is>
          <t>완료</t>
        </is>
      </c>
    </row>
    <row r="86" ht="48" customHeight="1" s="89">
      <c r="A86" s="181" t="n">
        <v>1</v>
      </c>
      <c r="B86" s="182" t="inlineStr">
        <is>
          <t>통합 대시보드 뼈대(3~5개 숙소 한눈에 보기)</t>
        </is>
      </c>
      <c r="C86" s="182" t="inlineStr">
        <is>
          <t>Claude Code(직접실행)</t>
        </is>
      </c>
      <c r="D86" s="182" t="inlineStr">
        <is>
          <t>frontend/src/pages/Dashboard.tsx</t>
        </is>
      </c>
      <c r="E86" s="182" t="inlineStr">
        <is>
          <t>▶ 로컬과 배포 환경을 최대한 동일하게 유지(dev/prod parity)
⚠ .env 파일이 실수로 커밋되지 않았는지 매번 확인</t>
        </is>
      </c>
      <c r="F86" s="182" t="inlineStr">
        <is>
          <t>로컬에서 정상 동작 확인 후에만 커밋</t>
        </is>
      </c>
      <c r="G86" s="181" t="inlineStr">
        <is>
          <t>☑</t>
        </is>
      </c>
    </row>
    <row r="87" ht="109.5" customHeight="1" s="89">
      <c r="A87" s="183" t="inlineStr">
        <is>
          <t>🎬 오늘의 시나리오</t>
        </is>
      </c>
      <c r="B87" s="184" t="n"/>
      <c r="C87" s="183" t="inlineStr">
        <is>
          <t>[상황] 3~5개 숙소를 운영하는 호스트가 한눈에 전체 현황을 보고 싶어함
[동작] ① 숙소 카드형 대시보드 뼈대 구현 ② 각 카드에 오늘의 체크인/아웃, 청소상태 요약 표시
[원칙 없었다면] 숙소별로 화면을 따로 열어봐야 한다면 멀티호스트 핵심가치(한눈에 관리) 자체가 무너짐</t>
        </is>
      </c>
      <c r="D87" s="185" t="n"/>
      <c r="E87" s="185" t="n"/>
      <c r="F87" s="185" t="n"/>
      <c r="G87" s="184" t="n"/>
    </row>
    <row r="88" ht="19.5" customHeight="1" s="89">
      <c r="A88" s="186" t="inlineStr">
        <is>
          <t>🌅 아침 크로스체크</t>
        </is>
      </c>
      <c r="B88" s="184" t="n"/>
      <c r="C88" s="186" t="inlineStr">
        <is>
          <t>☐ 전날 순서대로 실행됨  ☐ 위 작업 전부 완료  ☐ git commit 완료  ☐ 전날 백업 실행(backup_push.ps1/.bat 더블클릭 → git push+Desktop 미러백업)</t>
        </is>
      </c>
      <c r="D88" s="185" t="n"/>
      <c r="E88" s="185" t="n"/>
      <c r="F88" s="184" t="n"/>
      <c r="G88" s="186" t="inlineStr">
        <is>
          <t>메모:</t>
        </is>
      </c>
    </row>
    <row r="90" ht="24" customHeight="1" s="89">
      <c r="A90" s="178" t="inlineStr">
        <is>
          <t>📅 2026-09-09(수)  ·  9일차  ·  작업 3건</t>
        </is>
      </c>
    </row>
    <row r="91" ht="18" customHeight="1" s="89">
      <c r="A91" s="179" t="inlineStr">
        <is>
          <t>🎯 오늘의 타이틀: 회원가입/로그인 화면+API 설계(JWT)</t>
        </is>
      </c>
    </row>
    <row r="92" ht="15" customHeight="1" s="89">
      <c r="A92" s="180" t="inlineStr">
        <is>
          <t>순서</t>
        </is>
      </c>
      <c r="B92" s="180" t="inlineStr">
        <is>
          <t>세부 작업</t>
        </is>
      </c>
      <c r="C92" s="180" t="inlineStr">
        <is>
          <t>활용도구</t>
        </is>
      </c>
      <c r="D92" s="180" t="inlineStr">
        <is>
          <t>파일 위치</t>
        </is>
      </c>
      <c r="E92" s="180" t="inlineStr">
        <is>
          <t>핵심포인트 / 주의할 점</t>
        </is>
      </c>
      <c r="F92" s="180" t="inlineStr">
        <is>
          <t>확인방법</t>
        </is>
      </c>
      <c r="G92" s="180" t="inlineStr">
        <is>
          <t>완료</t>
        </is>
      </c>
    </row>
    <row r="93" ht="48" customHeight="1" s="89">
      <c r="A93" s="181" t="n">
        <v>1</v>
      </c>
      <c r="B93" s="182" t="inlineStr">
        <is>
          <t>User Flow 다이어그램 작성(화면간 이동 구조)</t>
        </is>
      </c>
      <c r="C93" s="182" t="inlineStr">
        <is>
          <t>Gemini(검토보조)</t>
        </is>
      </c>
      <c r="D93" s="182" t="inlineStr">
        <is>
          <t>docs/ui_design.md</t>
        </is>
      </c>
      <c r="E93" s="182" t="inlineStr">
        <is>
          <t>▶ 빠진 화면이 없는지가 핵심 — 로그인/빈상태 화면을 특히 놓치기 쉬움
⚠ 와이어프레임을 너무 디테일하게 만들지 않는다(시간 낭비, 저해상도로 충분)</t>
        </is>
      </c>
      <c r="F93" s="182" t="inlineStr">
        <is>
          <t>실제 사용 흐름 그대로 클릭 시뮬레이션 해보며 막히는 지점이 있는지 확인</t>
        </is>
      </c>
      <c r="G93" s="181" t="inlineStr">
        <is>
          <t>☑</t>
        </is>
      </c>
    </row>
    <row r="94" ht="48" customHeight="1" s="89">
      <c r="A94" s="181" t="n">
        <v>2</v>
      </c>
      <c r="B94" s="182" t="inlineStr">
        <is>
          <t>회원가입/로그인 화면+API 설계(JWT)</t>
        </is>
      </c>
      <c r="C94" s="182" t="inlineStr">
        <is>
          <t>Claude(대화보조)</t>
        </is>
      </c>
      <c r="D94" s="182" t="inlineStr">
        <is>
          <t>docs/ui_design.md, docs/api_contract.md</t>
        </is>
      </c>
      <c r="E94" s="182" t="inlineStr">
        <is>
          <t>▶ 빠진 화면이 없는지가 핵심 — 로그인/빈상태 화면을 특히 놓치기 쉬움
⚠ 와이어프레임을 너무 디테일하게 만들지 않는다(시간 낭비, 저해상도로 충분)</t>
        </is>
      </c>
      <c r="F94" s="182" t="inlineStr">
        <is>
          <t>실제 사용 흐름 그대로 클릭 시뮬레이션 해보며 막히는 지점이 있는지 확인</t>
        </is>
      </c>
      <c r="G94" s="181" t="inlineStr">
        <is>
          <t>☑</t>
        </is>
      </c>
    </row>
    <row r="95" ht="48" customHeight="1" s="89">
      <c r="A95" s="181" t="n">
        <v>3</v>
      </c>
      <c r="B95" s="182" t="inlineStr">
        <is>
          <t>✅ 1.5단계 검증: 와이어프레임 실제 흐름대로 클릭 시뮬레이션 리뷰</t>
        </is>
      </c>
      <c r="C95" s="182" t="inlineStr">
        <is>
          <t>Claude(대화보조)</t>
        </is>
      </c>
      <c r="D95" s="182" t="inlineStr">
        <is>
          <t>체크리스트 '9단계 검증 체크리스트' 시트</t>
        </is>
      </c>
      <c r="E95" s="182" t="inlineStr">
        <is>
          <t>▶ 빠진 화면이 없는지가 핵심 — 로그인/빈상태 화면을 특히 놓치기 쉬움
⚠ 와이어프레임을 너무 디테일하게 만들지 않는다(시간 낭비, 저해상도로 충분)</t>
        </is>
      </c>
      <c r="F95" s="182" t="inlineStr">
        <is>
          <t>실제 사용 흐름 그대로 클릭 시뮬레이션 해보며 막히는 지점이 있는지 확인</t>
        </is>
      </c>
      <c r="G95" s="181" t="inlineStr">
        <is>
          <t>☑</t>
        </is>
      </c>
    </row>
    <row r="96" ht="109.5" customHeight="1" s="89">
      <c r="A96" s="183" t="inlineStr">
        <is>
          <t>🎬 오늘의 시나리오</t>
        </is>
      </c>
      <c r="B96" s="184" t="n"/>
      <c r="C96" s="183" t="inlineStr">
        <is>
          <t>[상황] 회원가입/로그인이 이후 모든 기능의 출입문 역할을 함
[동작] ① 로그인/회원가입 화면 설계 ② JWT 기반 인증 API 스펙 확정(토큰 발급/검증 방식)
[원칙 없었다면] 인증 설계가 부실하면 나중에 다른 모든 API에 보안 구멍이 생김</t>
        </is>
      </c>
      <c r="D96" s="185" t="n"/>
      <c r="E96" s="185" t="n"/>
      <c r="F96" s="185" t="n"/>
      <c r="G96" s="184" t="n"/>
    </row>
    <row r="97" ht="19.5" customHeight="1" s="89">
      <c r="A97" s="187" t="inlineStr">
        <is>
          <t>🌅 아침 크로스체크</t>
        </is>
      </c>
      <c r="B97" s="184" t="n"/>
      <c r="C97" s="187" t="inlineStr">
        <is>
          <t>☑ 전날 순서대로 실행됨  ☑ 위 작업 전부 완료  ☑ git commit 완료  ☑ 전날 백업 실행(backup_push.ps1/.bat 더블클릭 → git push+Desktop 미러백업)  ☑ 검증 체크 완료  ☑ 🔍 오늘은 검증일! DoD 결과 '9단계 검증 체크리스트' 시트에 기록</t>
        </is>
      </c>
      <c r="D97" s="185" t="n"/>
      <c r="E97" s="185" t="n"/>
      <c r="F97" s="184" t="n"/>
      <c r="G97" s="187" t="inlineStr">
        <is>
          <t>메모:</t>
        </is>
      </c>
    </row>
    <row r="99" ht="24" customHeight="1" s="89">
      <c r="A99" s="178" t="inlineStr">
        <is>
          <t>📅 2026-09-10(목)  ·  10일차  ·  작업 1건</t>
        </is>
      </c>
    </row>
    <row r="100" ht="18" customHeight="1" s="89">
      <c r="A100" s="179" t="inlineStr">
        <is>
          <t>🎯 오늘의 타이틀: iCal 연동 + ChannelConnection 구현(sync_status/last_synced_at 표시)</t>
        </is>
      </c>
    </row>
    <row r="101" ht="15" customHeight="1" s="89">
      <c r="A101" s="180" t="inlineStr">
        <is>
          <t>순서</t>
        </is>
      </c>
      <c r="B101" s="180" t="inlineStr">
        <is>
          <t>세부 작업</t>
        </is>
      </c>
      <c r="C101" s="180" t="inlineStr">
        <is>
          <t>활용도구</t>
        </is>
      </c>
      <c r="D101" s="180" t="inlineStr">
        <is>
          <t>파일 위치</t>
        </is>
      </c>
      <c r="E101" s="180" t="inlineStr">
        <is>
          <t>핵심포인트 / 주의할 점</t>
        </is>
      </c>
      <c r="F101" s="180" t="inlineStr">
        <is>
          <t>확인방법</t>
        </is>
      </c>
      <c r="G101" s="180" t="inlineStr">
        <is>
          <t>완료</t>
        </is>
      </c>
    </row>
    <row r="102" ht="48" customHeight="1" s="89">
      <c r="A102" s="181" t="n">
        <v>1</v>
      </c>
      <c r="B102" s="182" t="inlineStr">
        <is>
          <t>iCal 연동 + ChannelConnection 구현(sync_status/last_synced_at 표시)</t>
        </is>
      </c>
      <c r="C102" s="182" t="inlineStr">
        <is>
          <t>Claude Code(직접실행)</t>
        </is>
      </c>
      <c r="D102" s="182" t="inlineStr">
        <is>
          <t>backend/app/services/ical_sync.py</t>
        </is>
      </c>
      <c r="E102" s="182" t="inlineStr">
        <is>
          <t>▶ 이 프로젝트에서 유일하게 완전히 실제(Real) 동작하는 외부연동 — 심사 신뢰도의 핵심 앵커
⚠ '실시간'이라는 표현 사용 금지(플랫폼 갱신주기상 최대 3시간 지연 가능) — 반드시 '동기화 시점' 표현 사용</t>
        </is>
      </c>
      <c r="F102" s="182" t="inlineStr">
        <is>
          <t>실제 Airbnb iCal URL을 넣고 예약이 화면에 정확히 반영되는지 확인</t>
        </is>
      </c>
      <c r="G102" s="181" t="inlineStr">
        <is>
          <t>☑</t>
        </is>
      </c>
    </row>
    <row r="103" ht="109.5" customHeight="1" s="89">
      <c r="A103" s="183" t="inlineStr">
        <is>
          <t>🎬 오늘의 시나리오</t>
        </is>
      </c>
      <c r="B103" s="184" t="n"/>
      <c r="C103" s="183" t="inlineStr">
        <is>
          <t>[상황] 에어비앤비 등 외부 플랫폼 예약을 우리 시스템이 실시간으로 인지해야 오버부킹을 막을 수 있음
[동작] ① iCal URL 연동 구현 ② ChannelConnection 모델로 동기화 상태(sync_status)·최근동기화시각 표시
[원칙 없었다면] 외부 예약을 못 읽어오면 지금처럼 매번 수동으로 여러 캘린더를 대조해야 함</t>
        </is>
      </c>
      <c r="D103" s="185" t="n"/>
      <c r="E103" s="185" t="n"/>
      <c r="F103" s="185" t="n"/>
      <c r="G103" s="184" t="n"/>
    </row>
    <row r="104" ht="19.5" customHeight="1" s="89">
      <c r="A104" s="186" t="inlineStr">
        <is>
          <t>🌅 아침 크로스체크</t>
        </is>
      </c>
      <c r="B104" s="184" t="n"/>
      <c r="C104" s="186" t="inlineStr">
        <is>
          <t>☑ 전날 순서대로 실행됨  ☑ 위 작업 전부 완료  ☑ git commit 완료  ☑ 전날 백업 실행(backup_push.ps1/.bat 더블클릭 → git push+Desktop 미러백업)</t>
        </is>
      </c>
      <c r="D104" s="185" t="n"/>
      <c r="E104" s="185" t="n"/>
      <c r="F104" s="184" t="n"/>
      <c r="G104" s="186" t="inlineStr">
        <is>
          <t>메모:</t>
        </is>
      </c>
    </row>
    <row r="106" ht="24" customHeight="1" s="89">
      <c r="A106" s="178" t="inlineStr">
        <is>
          <t>📅 2026-09-11(금)  ·  11일차  ·  작업 1건</t>
        </is>
      </c>
    </row>
    <row r="107" ht="18" customHeight="1" s="89">
      <c r="A107" s="179" t="inlineStr">
        <is>
          <t>🎯 오늘의 타이틀: 회원가입/로그인 화면+API 구현(JWT, 비밀번호는 bcrypt 해시로 저장)</t>
        </is>
      </c>
    </row>
    <row r="108" ht="15" customHeight="1" s="89">
      <c r="A108" s="180" t="inlineStr">
        <is>
          <t>순서</t>
        </is>
      </c>
      <c r="B108" s="180" t="inlineStr">
        <is>
          <t>세부 작업</t>
        </is>
      </c>
      <c r="C108" s="180" t="inlineStr">
        <is>
          <t>활용도구</t>
        </is>
      </c>
      <c r="D108" s="180" t="inlineStr">
        <is>
          <t>파일 위치</t>
        </is>
      </c>
      <c r="E108" s="180" t="inlineStr">
        <is>
          <t>핵심포인트 / 주의할 점</t>
        </is>
      </c>
      <c r="F108" s="180" t="inlineStr">
        <is>
          <t>확인방법</t>
        </is>
      </c>
      <c r="G108" s="180" t="inlineStr">
        <is>
          <t>완료</t>
        </is>
      </c>
    </row>
    <row r="109" ht="48" customHeight="1" s="89">
      <c r="A109" s="181" t="n">
        <v>1</v>
      </c>
      <c r="B109" s="182" t="inlineStr">
        <is>
          <t>회원가입/로그인 화면+API 구현(JWT, 비밀번호는 bcrypt 해시로 저장)</t>
        </is>
      </c>
      <c r="C109" s="182" t="inlineStr">
        <is>
          <t>Claude Code(직접실행)</t>
        </is>
      </c>
      <c r="D109" s="182" t="inlineStr">
        <is>
          <t>backend/app/api/v1/endpoints/auth.py, frontend/src/pages/Login.tsx</t>
        </is>
      </c>
      <c r="E109" s="182" t="inlineStr">
        <is>
          <t>▶ 비밀번호는 반드시 bcrypt로 해시 저장
⚠ JWT '발급'과 '검증'은 별개 — 토큰 유효성만 확인하고 property 소유권(IDOR) 검증을 빠뜨리면 다른 호스트 데이터에 접근 가능</t>
        </is>
      </c>
      <c r="F109" s="182" t="inlineStr">
        <is>
          <t>호스트A의 토큰으로 호스트B 소유의 property_id를 조회 시도 → 404로 차단되는지 확인</t>
        </is>
      </c>
      <c r="G109" s="181" t="inlineStr">
        <is>
          <t>☑</t>
        </is>
      </c>
    </row>
    <row r="110" ht="109.5" customHeight="1" s="89">
      <c r="A110" s="183" t="inlineStr">
        <is>
          <t>🎬 오늘의 시나리오</t>
        </is>
      </c>
      <c r="B110" s="184" t="n"/>
      <c r="C110" s="183" t="inlineStr">
        <is>
          <t>[상황] 9/9에 설계한 인증 스펙을 실제로 동작하게 만들어야 함
[동작] ① 회원가입/로그인 화면+API 실제 구현 ② 비밀번호는 반드시 bcrypt 해시로 저장(평문 저장 금지)
[원칙 없었다면] 비밀번호를 평문 저장하면 DB 유출시 모든 계정이 그대로 뚫리는 최악의 보안사고</t>
        </is>
      </c>
      <c r="D110" s="185" t="n"/>
      <c r="E110" s="185" t="n"/>
      <c r="F110" s="185" t="n"/>
      <c r="G110" s="184" t="n"/>
    </row>
    <row r="111" ht="19.5" customHeight="1" s="89">
      <c r="A111" s="186" t="inlineStr">
        <is>
          <t>🌅 아침 크로스체크</t>
        </is>
      </c>
      <c r="B111" s="184" t="n"/>
      <c r="C111" s="186" t="inlineStr">
        <is>
          <t>☑ 전날 순서대로 실행됨  ☑ 위 작업 전부 완료  ☑ git commit 완료  ☑ 전날 백업 실행(backup_push.ps1/.bat 더블클릭 → git push+Desktop 미러백업)</t>
        </is>
      </c>
      <c r="D111" s="185" t="n"/>
      <c r="E111" s="185" t="n"/>
      <c r="F111" s="184" t="n"/>
      <c r="G111" s="186" t="inlineStr">
        <is>
          <t>메모:</t>
        </is>
      </c>
    </row>
    <row r="113" ht="24" customHeight="1" s="89">
      <c r="A113" s="178" t="inlineStr">
        <is>
          <t>📅 2026-09-12(토)  ·  12일차  ·  작업 2건</t>
        </is>
      </c>
    </row>
    <row r="114" ht="18" customHeight="1" s="89">
      <c r="A114" s="179" t="inlineStr">
        <is>
          <t>🎯 오늘의 타이틀: 통합 캘린더 뷰: 독채=Property행 / 호스텔=Room 아코디언-Bed행</t>
        </is>
      </c>
    </row>
    <row r="115" ht="15" customHeight="1" s="89">
      <c r="A115" s="180" t="inlineStr">
        <is>
          <t>순서</t>
        </is>
      </c>
      <c r="B115" s="180" t="inlineStr">
        <is>
          <t>세부 작업</t>
        </is>
      </c>
      <c r="C115" s="180" t="inlineStr">
        <is>
          <t>활용도구</t>
        </is>
      </c>
      <c r="D115" s="180" t="inlineStr">
        <is>
          <t>파일 위치</t>
        </is>
      </c>
      <c r="E115" s="180" t="inlineStr">
        <is>
          <t>핵심포인트 / 주의할 점</t>
        </is>
      </c>
      <c r="F115" s="180" t="inlineStr">
        <is>
          <t>확인방법</t>
        </is>
      </c>
      <c r="G115" s="180" t="inlineStr">
        <is>
          <t>완료</t>
        </is>
      </c>
    </row>
    <row r="116" ht="48" customHeight="1" s="89">
      <c r="A116" s="181" t="n">
        <v>1</v>
      </c>
      <c r="B116" s="182" t="inlineStr">
        <is>
          <t>통합 캘린더 뷰: 독채=Property행 / 호스텔=Room 아코디언-Bed행</t>
        </is>
      </c>
      <c r="C116" s="182" t="inlineStr">
        <is>
          <t>Claude Code(직접실행)</t>
        </is>
      </c>
      <c r="D116" s="182" t="inlineStr">
        <is>
          <t>frontend/src/pages/Calendar.tsx</t>
        </is>
      </c>
      <c r="E116" s="182" t="inlineStr">
        <is>
          <t>▶ 로컬과 배포 환경을 최대한 동일하게 유지(dev/prod parity)
⚠ .env 파일이 실수로 커밋되지 않았는지 매번 확인</t>
        </is>
      </c>
      <c r="F116" s="182" t="inlineStr">
        <is>
          <t>로컬에서 정상 동작 확인 후에만 커밋</t>
        </is>
      </c>
      <c r="G116" s="181" t="inlineStr">
        <is>
          <t>☑</t>
        </is>
      </c>
    </row>
    <row r="117" ht="48" customHeight="1" s="89">
      <c r="A117" s="181" t="n">
        <v>2</v>
      </c>
      <c r="B117" s="182" t="inlineStr">
        <is>
          <t>iCal 동기화 시점 중복예약 충돌 감지 + 수동 새로고침 버튼</t>
        </is>
      </c>
      <c r="C117" s="182" t="inlineStr">
        <is>
          <t>Claude Code(직접실행)</t>
        </is>
      </c>
      <c r="D117" s="182" t="inlineStr">
        <is>
          <t>backend/app/services/ical_sync.py</t>
        </is>
      </c>
      <c r="E117" s="182" t="inlineStr">
        <is>
          <t>▶ 로컬과 배포 환경을 최대한 동일하게 유지(dev/prod parity)
⚠ .env 파일이 실수로 커밋되지 않았는지 매번 확인</t>
        </is>
      </c>
      <c r="F117" s="182" t="inlineStr">
        <is>
          <t>로컬에서 정상 동작 확인 후에만 커밋</t>
        </is>
      </c>
      <c r="G117" s="181" t="inlineStr">
        <is>
          <t>☐</t>
        </is>
      </c>
    </row>
    <row r="118" ht="109.5" customHeight="1" s="89">
      <c r="A118" s="183" t="inlineStr">
        <is>
          <t>🎬 오늘의 시나리오</t>
        </is>
      </c>
      <c r="B118" s="184" t="n"/>
      <c r="C118" s="183" t="inlineStr">
        <is>
          <t>[상황] 강남(통예약)과 홍대(방단위)를 같은 캘린더 화면에서 봐야 함
[동작] ① 독채는 Property 단위 한 줄로, 호스텔은 Room별 아코디언 펼쳐서 Bed까지 표시
[원칙 없었다면] 두 운영방식을 같은 방식으로 억지로 표시하면 호스텔 쪽 예약현황을 한눈에 파악 못함</t>
        </is>
      </c>
      <c r="D118" s="185" t="n"/>
      <c r="E118" s="185" t="n"/>
      <c r="F118" s="185" t="n"/>
      <c r="G118" s="184" t="n"/>
    </row>
    <row r="119" ht="19.5" customHeight="1" s="89">
      <c r="A119" s="186" t="inlineStr">
        <is>
          <t>🌅 아침 크로스체크</t>
        </is>
      </c>
      <c r="B119" s="184" t="n"/>
      <c r="C119" s="186" t="inlineStr">
        <is>
          <t>☑ 전날 순서대로 실행됨  ☑ 위 작업 전부 완료  ☑ git commit 완료  ☑ 전날 백업 실행(backup_push.ps1/.bat 더블클릭 → git push+Desktop 미러백업)</t>
        </is>
      </c>
      <c r="D119" s="185" t="n"/>
      <c r="E119" s="185" t="n"/>
      <c r="F119" s="184" t="n"/>
      <c r="G119" s="186" t="inlineStr">
        <is>
          <t>메모:</t>
        </is>
      </c>
    </row>
    <row r="121" ht="24" customHeight="1" s="89">
      <c r="A121" s="178" t="inlineStr">
        <is>
          <t>📅 2026-09-14(월)  ·  13일차  ·  작업 3건</t>
        </is>
      </c>
    </row>
    <row r="122" ht="18" customHeight="1" s="89">
      <c r="A122" s="179" t="inlineStr">
        <is>
          <t>🎯 오늘의 타이틀: Property 전체대여시 하위 Room 전체 블록 인터셉터 구현(본인 3룸숙소 핵심케이스)</t>
        </is>
      </c>
    </row>
    <row r="123" ht="15" customHeight="1" s="89">
      <c r="A123" s="180" t="inlineStr">
        <is>
          <t>순서</t>
        </is>
      </c>
      <c r="B123" s="180" t="inlineStr">
        <is>
          <t>세부 작업</t>
        </is>
      </c>
      <c r="C123" s="180" t="inlineStr">
        <is>
          <t>활용도구</t>
        </is>
      </c>
      <c r="D123" s="180" t="inlineStr">
        <is>
          <t>파일 위치</t>
        </is>
      </c>
      <c r="E123" s="180" t="inlineStr">
        <is>
          <t>핵심포인트 / 주의할 점</t>
        </is>
      </c>
      <c r="F123" s="180" t="inlineStr">
        <is>
          <t>확인방법</t>
        </is>
      </c>
      <c r="G123" s="180" t="inlineStr">
        <is>
          <t>완료</t>
        </is>
      </c>
    </row>
    <row r="124" ht="48" customHeight="1" s="89">
      <c r="A124" s="181" t="n">
        <v>1</v>
      </c>
      <c r="B124" s="182" t="inlineStr">
        <is>
          <t>Property 전체대여시 하위 Room 전체 블록 인터셉터 구현(본인 3룸숙소 핵심케이스)</t>
        </is>
      </c>
      <c r="C124" s="182" t="inlineStr">
        <is>
          <t>Claude Code(직접실행)</t>
        </is>
      </c>
      <c r="D124" s="182" t="inlineStr">
        <is>
          <t>backend/app/services/reservation_service.py</t>
        </is>
      </c>
      <c r="E124" s="182" t="inlineStr">
        <is>
          <t>▶ 본인 3룸숙소의 실제 운영형태(통대여)를 반영하는 핵심 로직
⚠ EXCLUDE 제약만으로는 PROPERTY예약↔ROOM/BED예약 교차충돌을 못 막음 — 반드시 트랜잭션 검증 코드로 방어</t>
        </is>
      </c>
      <c r="F124" s="182" t="inlineStr">
        <is>
          <t>3룸 전체예약 확정 후 그 중 방 1개만 별도 예약 시도 → 반드시 차단되는지 확인</t>
        </is>
      </c>
      <c r="G124" s="181" t="inlineStr">
        <is>
          <t>☑</t>
        </is>
      </c>
    </row>
    <row r="125" ht="48" customHeight="1" s="89">
      <c r="A125" s="181" t="n">
        <v>2</v>
      </c>
      <c r="B125" s="182" t="inlineStr">
        <is>
          <t>Room 전체대여시 하위 Bed 전체 블록 인터셉터 구현(호스텔 확장용)</t>
        </is>
      </c>
      <c r="C125" s="182" t="inlineStr">
        <is>
          <t>Claude Code(구현) / Gemini(검토)</t>
        </is>
      </c>
      <c r="D125" s="182" t="inlineStr">
        <is>
          <t>backend/app/services/reservation_service.py</t>
        </is>
      </c>
      <c r="E125" s="182" t="inlineStr">
        <is>
          <t>▶ 로컬과 배포 환경을 최대한 동일하게 유지(dev/prod parity)
⚠ .env 파일이 실수로 커밋되지 않았는지 매번 확인</t>
        </is>
      </c>
      <c r="F125" s="182" t="inlineStr">
        <is>
          <t>로컬에서 정상 동작 확인 후에만 커밋</t>
        </is>
      </c>
      <c r="G125" s="181" t="inlineStr">
        <is>
          <t>☑</t>
        </is>
      </c>
    </row>
    <row r="126" ht="48" customHeight="1" s="89">
      <c r="A126" s="181" t="n">
        <v>3</v>
      </c>
      <c r="B126" s="182" t="inlineStr">
        <is>
          <t>EXCLUDE USING GIST 겹침방지 제약조건 실제동작 테스트(겹침예약 insert시 DB레벨 차단 확인)</t>
        </is>
      </c>
      <c r="C126" s="182" t="inlineStr">
        <is>
          <t>Claude Code(직접실행)</t>
        </is>
      </c>
      <c r="D126" s="182" t="inlineStr">
        <is>
          <t>backend/alembic/versions/ (마이그레이션)</t>
        </is>
      </c>
      <c r="E126" s="182" t="inlineStr">
        <is>
          <t>▶ PROPERTY/ROOM/BED 단위별 겹침방지 3개로 분리(COALESCE 통합방식 폐기)
⚠ COALESCE(room_id,0) 방식 절대 금지 — 0을 '값없음'과 '실제0번ID'로 구분 못해 데이터오염 위험. 점유상태(CONFIRMED 등)만 대상, CANCELLED는 제외</t>
        </is>
      </c>
      <c r="F126" s="182" t="inlineStr">
        <is>
          <t>같은 room에 겹치는 날짜로 2건 INSERT → 2번째가 에러나는지, 취소된 예약과는 겹쳐도 통과하는지 둘 다 확인</t>
        </is>
      </c>
      <c r="G126" s="181" t="inlineStr">
        <is>
          <t>☑</t>
        </is>
      </c>
    </row>
    <row r="127" ht="109.5" customHeight="1" s="89">
      <c r="A127" s="183" t="inlineStr">
        <is>
          <t>🎬 오늘의 시나리오</t>
        </is>
      </c>
      <c r="B127" s="184" t="n"/>
      <c r="C127" s="183" t="inlineStr">
        <is>
          <t>[상황] 강남 3룸이 통예약으로 확정된 상태에서 실수로 방 하나만 따로 예약 시도하는 상황
[동작] ① Property 전체대여 확정시 하위 Room 3개 모두 자동 잠금 ② 개별 Room 예약 시도시 시스템이 거부
[원칙 없었다면] 이 인터셉터가 없으면 게스트 2팀이 같은 방에 동시 도착하는 오버부킹 사고 발생</t>
        </is>
      </c>
      <c r="D127" s="185" t="n"/>
      <c r="E127" s="185" t="n"/>
      <c r="F127" s="185" t="n"/>
      <c r="G127" s="184" t="n"/>
    </row>
    <row r="128" ht="19.5" customHeight="1" s="89">
      <c r="A128" s="186" t="inlineStr">
        <is>
          <t>🌅 아침 크로스체크</t>
        </is>
      </c>
      <c r="B128" s="184" t="n"/>
      <c r="C128" s="186" t="inlineStr">
        <is>
          <t>☐ 전날 순서대로 실행됨  ☐ 위 작업 전부 완료  ☐ git commit 완료  ☐ 전날 백업 실행(backup_push.ps1/.bat 더블클릭 → git push+Desktop 미러백업)</t>
        </is>
      </c>
      <c r="D128" s="185" t="n"/>
      <c r="E128" s="185" t="n"/>
      <c r="F128" s="184" t="n"/>
      <c r="G128" s="186" t="inlineStr">
        <is>
          <t>메모:</t>
        </is>
      </c>
    </row>
    <row r="130" ht="24" customHeight="1" s="89">
      <c r="A130" s="178" t="inlineStr">
        <is>
          <t>📅 2026-09-15(화)  ·  14일차  ·  작업 2건</t>
        </is>
      </c>
    </row>
    <row r="131" ht="18" customHeight="1" s="89">
      <c r="A131" s="179" t="inlineStr">
        <is>
          <t>🎯 오늘의 타이틀: ✅ 2단계 검증: 실제 iCal URL로 캘린더 반영·중복감지 정상동작 확인</t>
        </is>
      </c>
    </row>
    <row r="132" ht="15" customHeight="1" s="89">
      <c r="A132" s="180" t="inlineStr">
        <is>
          <t>순서</t>
        </is>
      </c>
      <c r="B132" s="180" t="inlineStr">
        <is>
          <t>세부 작업</t>
        </is>
      </c>
      <c r="C132" s="180" t="inlineStr">
        <is>
          <t>활용도구</t>
        </is>
      </c>
      <c r="D132" s="180" t="inlineStr">
        <is>
          <t>파일 위치</t>
        </is>
      </c>
      <c r="E132" s="180" t="inlineStr">
        <is>
          <t>핵심포인트 / 주의할 점</t>
        </is>
      </c>
      <c r="F132" s="180" t="inlineStr">
        <is>
          <t>확인방법</t>
        </is>
      </c>
      <c r="G132" s="180" t="inlineStr">
        <is>
          <t>완료</t>
        </is>
      </c>
    </row>
    <row r="133" ht="48" customHeight="1" s="89">
      <c r="A133" s="181" t="n">
        <v>1</v>
      </c>
      <c r="B133" s="182" t="inlineStr">
        <is>
          <t>네이버예약 채널카드 UI '내보내기 전용' 표시</t>
        </is>
      </c>
      <c r="C133" s="182" t="inlineStr">
        <is>
          <t>Gemini(검토보조)</t>
        </is>
      </c>
      <c r="D133" s="182" t="inlineStr">
        <is>
          <t>backend/ 또는 frontend/ (세부 위치는 해당일 착수시 확정)</t>
        </is>
      </c>
      <c r="E133" s="182" t="inlineStr">
        <is>
          <t>▶ 로컬과 배포 환경을 최대한 동일하게 유지(dev/prod parity)
⚠ .env 파일이 실수로 커밋되지 않았는지 매번 확인</t>
        </is>
      </c>
      <c r="F133" s="182" t="inlineStr">
        <is>
          <t>로컬에서 정상 동작 확인 후에만 커밋</t>
        </is>
      </c>
      <c r="G133" s="181" t="inlineStr">
        <is>
          <t>☐</t>
        </is>
      </c>
    </row>
    <row r="134" ht="48" customHeight="1" s="89">
      <c r="A134" s="181" t="n">
        <v>2</v>
      </c>
      <c r="B134" s="182" t="inlineStr">
        <is>
          <t>✅ 2단계 검증: 실제 iCal URL로 캘린더 반영·중복감지 정상동작 확인</t>
        </is>
      </c>
      <c r="C134" s="182" t="inlineStr">
        <is>
          <t>Claude Code(직접실행)</t>
        </is>
      </c>
      <c r="D134" s="182" t="inlineStr">
        <is>
          <t>backend/app/services/ical_sync.py</t>
        </is>
      </c>
      <c r="E134" s="182" t="inlineStr">
        <is>
          <t>▶ 로컬과 배포 환경을 최대한 동일하게 유지(dev/prod parity)
⚠ .env 파일이 실수로 커밋되지 않았는지 매번 확인</t>
        </is>
      </c>
      <c r="F134" s="182" t="inlineStr">
        <is>
          <t>로컬에서 정상 동작 확인 후에만 커밋
Mock 해제 상태에서 가입 → /onboarding 숙소·객실 등록 → 대시보드 진입 확인(숙소 API 8개, api_contract 2절)</t>
        </is>
      </c>
      <c r="G134" s="181" t="inlineStr">
        <is>
          <t>☐</t>
        </is>
      </c>
    </row>
    <row r="135" ht="109.5" customHeight="1" s="89">
      <c r="A135" s="183" t="inlineStr">
        <is>
          <t>🎬 오늘의 시나리오</t>
        </is>
      </c>
      <c r="B135" s="184" t="n"/>
      <c r="C135" s="183" t="inlineStr">
        <is>
          <t>[상황] 2단계(기반인프라) 마무리 시점, iCal 연동이 실제로 작동하는지 확인 필요
[동작] ① 실제 iCal URL로 캘린더 반영 테스트 ② 중복예약 감지가 정상 작동하는지 확인 ③ 통과해야 3단계 착수
[원칙 없었다면] 검증 없이 넘어가면 실제 배포 후에야 iCal 연동 버그를 발견하는 위험</t>
        </is>
      </c>
      <c r="D135" s="185" t="n"/>
      <c r="E135" s="185" t="n"/>
      <c r="F135" s="185" t="n"/>
      <c r="G135" s="184" t="n"/>
    </row>
    <row r="136" ht="19.5" customHeight="1" s="89">
      <c r="A136" s="187" t="inlineStr">
        <is>
          <t>🌅 아침 크로스체크</t>
        </is>
      </c>
      <c r="B136" s="184" t="n"/>
      <c r="C136" s="187" t="inlineStr">
        <is>
          <t>☐ 전날 순서대로 실행됨  ☐ 위 작업 전부 완료  ☐ git commit 완료  ☐ 전날 백업 실행(backup_push.ps1/.bat 더블클릭 → git push+Desktop 미러백업)  ☐ 검증 체크 완료  ☐ 🔍 오늘은 검증일! DoD 결과 '9단계 검증 체크리스트' 시트에 기록</t>
        </is>
      </c>
      <c r="D136" s="185" t="n"/>
      <c r="E136" s="185" t="n"/>
      <c r="F136" s="184" t="n"/>
      <c r="G136" s="187" t="inlineStr">
        <is>
          <t>메모:</t>
        </is>
      </c>
    </row>
    <row r="138" ht="24" customHeight="1" s="89">
      <c r="A138" s="178" t="inlineStr">
        <is>
          <t>📅 2026-09-16(수)  ·  15일차  ·  작업 2건</t>
        </is>
      </c>
    </row>
    <row r="139" ht="18" customHeight="1" s="89">
      <c r="A139" s="179" t="inlineStr">
        <is>
          <t>🎯 오늘의 타이틀: 채널연결(iCal URL) 실패시 에러 안내 UI(잘못된 URL/파싱실패 케이스)</t>
        </is>
      </c>
    </row>
    <row r="140" ht="15" customHeight="1" s="89">
      <c r="A140" s="180" t="inlineStr">
        <is>
          <t>순서</t>
        </is>
      </c>
      <c r="B140" s="180" t="inlineStr">
        <is>
          <t>세부 작업</t>
        </is>
      </c>
      <c r="C140" s="180" t="inlineStr">
        <is>
          <t>활용도구</t>
        </is>
      </c>
      <c r="D140" s="180" t="inlineStr">
        <is>
          <t>파일 위치</t>
        </is>
      </c>
      <c r="E140" s="180" t="inlineStr">
        <is>
          <t>핵심포인트 / 주의할 점</t>
        </is>
      </c>
      <c r="F140" s="180" t="inlineStr">
        <is>
          <t>확인방법</t>
        </is>
      </c>
      <c r="G140" s="180" t="inlineStr">
        <is>
          <t>완료</t>
        </is>
      </c>
    </row>
    <row r="141" ht="48" customHeight="1" s="89">
      <c r="A141" s="181" t="n">
        <v>1</v>
      </c>
      <c r="B141" s="182" t="inlineStr">
        <is>
          <t>채널연결(iCal URL) 실패시 에러 안내 UI(잘못된 URL/파싱실패 케이스)</t>
        </is>
      </c>
      <c r="C141" s="182" t="inlineStr">
        <is>
          <t>Claude Code(직접실행)</t>
        </is>
      </c>
      <c r="D141" s="182" t="inlineStr">
        <is>
          <t>backend/app/services/ical_sync.py</t>
        </is>
      </c>
      <c r="E141" s="182" t="inlineStr">
        <is>
          <t>▶ 로컬과 배포 환경을 최대한 동일하게 유지(dev/prod parity)
⚠ .env 파일이 실수로 커밋되지 않았는지 매번 확인</t>
        </is>
      </c>
      <c r="F141" s="182" t="inlineStr">
        <is>
          <t>로컬에서 정상 동작 확인 후에만 커밋</t>
        </is>
      </c>
      <c r="G141" s="181" t="inlineStr">
        <is>
          <t>☐</t>
        </is>
      </c>
    </row>
    <row r="142" ht="48" customHeight="1" s="89">
      <c r="A142" s="181" t="n">
        <v>2</v>
      </c>
      <c r="B142" s="182" t="inlineStr">
        <is>
          <t>로딩/에러/빈상태 공통 컴포넌트 적용 시작(캘린더 화면)</t>
        </is>
      </c>
      <c r="C142" s="182" t="inlineStr">
        <is>
          <t>Claude Code(직접실행)</t>
        </is>
      </c>
      <c r="D142" s="182" t="inlineStr">
        <is>
          <t>frontend/src/pages/Calendar.tsx</t>
        </is>
      </c>
      <c r="E142" s="182" t="inlineStr">
        <is>
          <t>▶ 로컬과 배포 환경을 최대한 동일하게 유지(dev/prod parity)
⚠ .env 파일이 실수로 커밋되지 않았는지 매번 확인</t>
        </is>
      </c>
      <c r="F142" s="182" t="inlineStr">
        <is>
          <t>로컬에서 정상 동작 확인 후에만 커밋</t>
        </is>
      </c>
      <c r="G142" s="181" t="inlineStr">
        <is>
          <t>☑</t>
        </is>
      </c>
    </row>
    <row r="143" ht="109.5" customHeight="1" s="89">
      <c r="A143" s="183" t="inlineStr">
        <is>
          <t>🎬 오늘의 시나리오</t>
        </is>
      </c>
      <c r="B143" s="184" t="n"/>
      <c r="C143" s="183" t="inlineStr">
        <is>
          <t>[상황] 호스트가 채널연결시 iCal URL을 잘못 입력하는 경우가 실제로 자주 발생함
[동작] ① 잘못된 URL·파싱실패 케이스 감지 ② 명확한 에러 메시지로 안내(재입력 유도)
[원칙 없었다면] 에러 처리 없이 조용히 실패하면 호스트가 캘린더가 왜 안 뜨는지 원인을 못 찾음</t>
        </is>
      </c>
      <c r="D143" s="185" t="n"/>
      <c r="E143" s="185" t="n"/>
      <c r="F143" s="185" t="n"/>
      <c r="G143" s="184" t="n"/>
    </row>
    <row r="144" ht="19.5" customHeight="1" s="89">
      <c r="A144" s="186" t="inlineStr">
        <is>
          <t>🌅 아침 크로스체크</t>
        </is>
      </c>
      <c r="B144" s="184" t="n"/>
      <c r="C144" s="186" t="inlineStr">
        <is>
          <t>☐ 전날 순서대로 실행됨  ☐ 위 작업 전부 완료  ☐ git commit 완료  ☐ 전날 백업 실행(backup_push.ps1/.bat 더블클릭 → git push+Desktop 미러백업)</t>
        </is>
      </c>
      <c r="D144" s="185" t="n"/>
      <c r="E144" s="185" t="n"/>
      <c r="F144" s="184" t="n"/>
      <c r="G144" s="186" t="inlineStr">
        <is>
          <t>메모:</t>
        </is>
      </c>
    </row>
    <row r="146" ht="24" customHeight="1" s="89">
      <c r="A146" s="178" t="inlineStr">
        <is>
          <t>📅 2026-09-17(목)  ·  16일차  ·  작업 2건</t>
        </is>
      </c>
    </row>
    <row r="147" ht="18" customHeight="1" s="89">
      <c r="A147" s="179" t="inlineStr">
        <is>
          <t>🎯 오늘의 타이틀: 자체 통합 인박스(게스트 채팅 시뮬레이터 UI)</t>
        </is>
      </c>
    </row>
    <row r="148" ht="15" customHeight="1" s="89">
      <c r="A148" s="180" t="inlineStr">
        <is>
          <t>순서</t>
        </is>
      </c>
      <c r="B148" s="180" t="inlineStr">
        <is>
          <t>세부 작업</t>
        </is>
      </c>
      <c r="C148" s="180" t="inlineStr">
        <is>
          <t>활용도구</t>
        </is>
      </c>
      <c r="D148" s="180" t="inlineStr">
        <is>
          <t>파일 위치</t>
        </is>
      </c>
      <c r="E148" s="180" t="inlineStr">
        <is>
          <t>핵심포인트 / 주의할 점</t>
        </is>
      </c>
      <c r="F148" s="180" t="inlineStr">
        <is>
          <t>확인방법</t>
        </is>
      </c>
      <c r="G148" s="180" t="inlineStr">
        <is>
          <t>완료</t>
        </is>
      </c>
    </row>
    <row r="149" ht="48" customHeight="1" s="89">
      <c r="A149" s="181" t="n">
        <v>1</v>
      </c>
      <c r="B149" s="182" t="inlineStr">
        <is>
          <t>자체 통합 인박스(게스트 채팅 시뮬레이터 UI)</t>
        </is>
      </c>
      <c r="C149" s="182" t="inlineStr">
        <is>
          <t>Claude Code(직접실행)</t>
        </is>
      </c>
      <c r="D149" s="182" t="inlineStr">
        <is>
          <t>frontend/src/pages/Inbox.jsx</t>
        </is>
      </c>
      <c r="E149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49" s="182" t="inlineStr">
        <is>
          <t>실제 호출해보고 응답 품질과 호출 횟수(비용)를 함께 확인</t>
        </is>
      </c>
      <c r="G149" s="181" t="inlineStr">
        <is>
          <t>☐</t>
        </is>
      </c>
    </row>
    <row r="150" ht="48" customHeight="1" s="89">
      <c r="A150" s="181" t="n">
        <v>2</v>
      </c>
      <c r="B150" s="182" t="inlineStr">
        <is>
          <t>Claude API 초기설정: $5 선충전 + 월 Spend Limit $10 설정 + Dev/Prod API키 분리</t>
        </is>
      </c>
      <c r="C150" s="182" t="inlineStr">
        <is>
          <t>Claude(대화보조)</t>
        </is>
      </c>
      <c r="D150" s="182" t="inlineStr">
        <is>
          <t>클라우드 콘솔(파일 아님) — Anthropic Console</t>
        </is>
      </c>
      <c r="E150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50" s="182" t="inlineStr">
        <is>
          <t>실제 호출해보고 응답 품질과 호출 횟수(비용)를 함께 확인</t>
        </is>
      </c>
      <c r="G150" s="181" t="inlineStr">
        <is>
          <t>☑</t>
        </is>
      </c>
    </row>
    <row r="151" ht="109.5" customHeight="1" s="89">
      <c r="A151" s="183" t="inlineStr">
        <is>
          <t>🎬 오늘의 시나리오</t>
        </is>
      </c>
      <c r="B151" s="184" t="n"/>
      <c r="C151" s="183" t="inlineStr">
        <is>
          <t>[상황] 게스트 문의를 실제 카카오톡/에어비앤비 메시지처럼 시뮬레이션할 화면이 필요함
[동작] ① 통합 인박스 UI 구현(게스트 채팅 시뮬레이터) ② 문의 목록·대화창 형태로 표시
[원칙 없었다면] 시뮬레이터 없이는 AI 응대 기능을 실제 게스트 없이 테스트할 방법이 없음</t>
        </is>
      </c>
      <c r="D151" s="185" t="n"/>
      <c r="E151" s="185" t="n"/>
      <c r="F151" s="185" t="n"/>
      <c r="G151" s="184" t="n"/>
    </row>
    <row r="152" ht="19.5" customHeight="1" s="89">
      <c r="A152" s="186" t="inlineStr">
        <is>
          <t>🌅 아침 크로스체크</t>
        </is>
      </c>
      <c r="B152" s="184" t="n"/>
      <c r="C152" s="186" t="inlineStr">
        <is>
          <t>☐ 전날 순서대로 실행됨  ☐ 위 작업 전부 완료  ☐ git commit 완료  ☐ 전날 백업 실행(backup_push.ps1/.bat 더블클릭 → git push+Desktop 미러백업)</t>
        </is>
      </c>
      <c r="D152" s="185" t="n"/>
      <c r="E152" s="185" t="n"/>
      <c r="F152" s="184" t="n"/>
      <c r="G152" s="186" t="inlineStr">
        <is>
          <t>메모:</t>
        </is>
      </c>
    </row>
    <row r="154" ht="24" customHeight="1" s="89">
      <c r="A154" s="178" t="inlineStr">
        <is>
          <t>📅 2026-09-18(금)  ·  17일차  ·  작업 2건</t>
        </is>
      </c>
    </row>
    <row r="155" ht="18" customHeight="1" s="89">
      <c r="A155" s="179" t="inlineStr">
        <is>
          <t>🎯 오늘의 타이틀: 숙소별 RAG 지식베이스 구축(로컬 벡터검색, LLM비용無) + property_id 스코프 격리 + 개발용 응답캐시(동일질문 반복시 API 미호출)</t>
        </is>
      </c>
    </row>
    <row r="156" ht="15" customHeight="1" s="89">
      <c r="A156" s="180" t="inlineStr">
        <is>
          <t>순서</t>
        </is>
      </c>
      <c r="B156" s="180" t="inlineStr">
        <is>
          <t>세부 작업</t>
        </is>
      </c>
      <c r="C156" s="180" t="inlineStr">
        <is>
          <t>활용도구</t>
        </is>
      </c>
      <c r="D156" s="180" t="inlineStr">
        <is>
          <t>파일 위치</t>
        </is>
      </c>
      <c r="E156" s="180" t="inlineStr">
        <is>
          <t>핵심포인트 / 주의할 점</t>
        </is>
      </c>
      <c r="F156" s="180" t="inlineStr">
        <is>
          <t>확인방법</t>
        </is>
      </c>
      <c r="G156" s="180" t="inlineStr">
        <is>
          <t>완료</t>
        </is>
      </c>
    </row>
    <row r="157" ht="48" customHeight="1" s="89">
      <c r="A157" s="181" t="n">
        <v>1</v>
      </c>
      <c r="B157" s="182" t="inlineStr">
        <is>
          <t>숙소별 RAG 지식베이스 구축(로컬 벡터검색, LLM비용無) + property_id 스코프 격리 + 개발용 응답캐시(동일질문 반복시 API 미호출)</t>
        </is>
      </c>
      <c r="C157" s="182" t="inlineStr">
        <is>
          <t>Gemini(검토보조)</t>
        </is>
      </c>
      <c r="D157" s="182" t="inlineStr">
        <is>
          <t>backend/app/services/rag.py</t>
        </is>
      </c>
      <c r="E157" s="182" t="inlineStr">
        <is>
          <t>▶ RAG검색(로컬벡터, 비용0) → Claude 1회 통합호출로 분류+위험도+다국어+근거 동시반환
⚠ 멀티스텝으로 쪼개면 같은 컨텍스트를 반복 전송해 비용 급증. property_id 스코프 격리 누락시 교차오답(치명적 버그) 발생. 임베딩 모델 확정 시 EMBEDDING_DIM(현재 384, all-MiniLM-L6-v2 가정값)이 실제 선택 모델과 일치하는지 재확인 — 다르면 컬럼 마이그레이션 1회 필요</t>
        </is>
      </c>
      <c r="F157" s="182" t="inlineStr">
        <is>
          <t>숙소A/B에 동일 질문을 던져서 서로 다른 정답이 나오는지, 로그상 문의 1건당 Claude 호출이 1~2회인지 확인</t>
        </is>
      </c>
      <c r="G157" s="181" t="inlineStr">
        <is>
          <t>☐</t>
        </is>
      </c>
    </row>
    <row r="158" ht="48" customHeight="1" s="89">
      <c r="A158" s="181" t="n">
        <v>2</v>
      </c>
      <c r="B158" s="182" t="inlineStr">
        <is>
          <t>LLM 응답 로딩/스켈레톤 UI(3~8초 지연 대응)</t>
        </is>
      </c>
      <c r="C158" s="182" t="inlineStr">
        <is>
          <t>Claude Code(직접실행)</t>
        </is>
      </c>
      <c r="D158" s="182" t="inlineStr">
        <is>
          <t>frontend/src/components/AIChatBox.jsx</t>
        </is>
      </c>
      <c r="E158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58" s="182" t="inlineStr">
        <is>
          <t>실제 호출해보고 응답 품질과 호출 횟수(비용)를 함께 확인</t>
        </is>
      </c>
      <c r="G158" s="181" t="inlineStr">
        <is>
          <t>☐</t>
        </is>
      </c>
    </row>
    <row r="159" ht="109.5" customHeight="1" s="89">
      <c r="A159" s="183" t="inlineStr">
        <is>
          <t>🎬 오늘의 시나리오</t>
        </is>
      </c>
      <c r="B159" s="184" t="n"/>
      <c r="C159" s="183" t="inlineStr">
        <is>
          <t>[상황] 새벽에 게스트가 와이파이 비번을 물어봐도 호스트가 매번 직접 답할 순 없음
[동작] ① 숙소별 RAG 지식베이스 구축(로컬 벡터검색) ② property_id로 숙소간 지식 완전 격리
[원칙 없었다면] 격리가 없으면 강남 정보가 홍대 게스트에게 잘못 전달되는 교차오답 사고 발생</t>
        </is>
      </c>
      <c r="D159" s="185" t="n"/>
      <c r="E159" s="185" t="n"/>
      <c r="F159" s="185" t="n"/>
      <c r="G159" s="184" t="n"/>
    </row>
    <row r="160" ht="19.5" customHeight="1" s="89">
      <c r="A160" s="186" t="inlineStr">
        <is>
          <t>🌅 아침 크로스체크</t>
        </is>
      </c>
      <c r="B160" s="184" t="n"/>
      <c r="C160" s="186" t="inlineStr">
        <is>
          <t>☐ 전날 순서대로 실행됨  ☐ 위 작업 전부 완료  ☐ git commit 완료  ☐ 전날 백업 실행(backup_push.ps1/.bat 더블클릭 → git push+Desktop 미러백업)</t>
        </is>
      </c>
      <c r="D160" s="185" t="n"/>
      <c r="E160" s="185" t="n"/>
      <c r="F160" s="184" t="n"/>
      <c r="G160" s="186" t="inlineStr">
        <is>
          <t>메모:</t>
        </is>
      </c>
    </row>
    <row r="162" ht="24" customHeight="1" s="89">
      <c r="A162" s="178" t="inlineStr">
        <is>
          <t>📅 2026-09-19(토)  ·  18일차  ·  작업 2건</t>
        </is>
      </c>
    </row>
    <row r="163" ht="18" customHeight="1" s="89">
      <c r="A163" s="179" t="inlineStr">
        <is>
          <t>🎯 오늘의 타이틀: LangGraph MAX_STEPS/recursion_limit 설정 + 재시도는 개별호출 2회로 제한(1문의=최대3 Claude호출)</t>
        </is>
      </c>
    </row>
    <row r="164" ht="15" customHeight="1" s="89">
      <c r="A164" s="180" t="inlineStr">
        <is>
          <t>순서</t>
        </is>
      </c>
      <c r="B164" s="180" t="inlineStr">
        <is>
          <t>세부 작업</t>
        </is>
      </c>
      <c r="C164" s="180" t="inlineStr">
        <is>
          <t>활용도구</t>
        </is>
      </c>
      <c r="D164" s="180" t="inlineStr">
        <is>
          <t>파일 위치</t>
        </is>
      </c>
      <c r="E164" s="180" t="inlineStr">
        <is>
          <t>핵심포인트 / 주의할 점</t>
        </is>
      </c>
      <c r="F164" s="180" t="inlineStr">
        <is>
          <t>확인방법</t>
        </is>
      </c>
      <c r="G164" s="180" t="inlineStr">
        <is>
          <t>완료</t>
        </is>
      </c>
    </row>
    <row r="165" ht="48" customHeight="1" s="89">
      <c r="A165" s="181" t="n">
        <v>1</v>
      </c>
      <c r="B165" s="182" t="inlineStr">
        <is>
          <t>AI 호출 재시도를 개별호출 2회로 제한(1문의=최대3 Claude호출) + 호출당 타임아웃(최초10초/재시도5초)</t>
        </is>
      </c>
      <c r="C165" s="182" t="inlineStr">
        <is>
          <t>Claude Code(직접실행)</t>
        </is>
      </c>
      <c r="D165" s="182" t="inlineStr">
        <is>
          <t>backend/ 또는 frontend/ (세부 위치는 해당일 착수시 확정)</t>
        </is>
      </c>
      <c r="E165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65" s="182" t="inlineStr">
        <is>
          <t>실제 호출해보고 응답 품질과 호출 횟수(비용)를 함께 확인</t>
        </is>
      </c>
      <c r="G165" s="181" t="inlineStr">
        <is>
          <t>☐</t>
        </is>
      </c>
    </row>
    <row r="166" ht="48" customHeight="1" s="89">
      <c r="A166" s="181" t="n">
        <v>2</v>
      </c>
      <c r="B166" s="182" t="inlineStr">
        <is>
          <t>문의 자동분류(예약/체크인/컴플레인/일반)</t>
        </is>
      </c>
      <c r="C166" s="182" t="inlineStr">
        <is>
          <t>Claude Code(직접실행)</t>
        </is>
      </c>
      <c r="D166" s="182" t="inlineStr">
        <is>
          <t>backend/app/services/ai_agent.py</t>
        </is>
      </c>
      <c r="E166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66" s="182" t="inlineStr">
        <is>
          <t>실제 호출해보고 응답 품질과 호출 횟수(비용)를 함께 확인</t>
        </is>
      </c>
      <c r="G166" s="181" t="inlineStr">
        <is>
          <t>☐</t>
        </is>
      </c>
    </row>
    <row r="167" ht="109.5" customHeight="1" s="89">
      <c r="A167" s="183" t="inlineStr">
        <is>
          <t>🎬 오늘의 시나리오</t>
        </is>
      </c>
      <c r="B167" s="184" t="n"/>
      <c r="C167" s="183" t="inlineStr">
        <is>
          <t>[상황] AI 호출이 무한정 반복되면 비용이 통제 불가능하게 폭주할 위험
[동작] ① 재시도는 개별호출 2회로 제한(1문의당 최대 3회) ② MAX_STEPS로 무한루프 원천 차단
[원칙 없었다면] 제한이 없으면 API 장애시 재시도가 끝없이 반복되어 순식간에 비용 폭탄</t>
        </is>
      </c>
      <c r="D167" s="185" t="n"/>
      <c r="E167" s="185" t="n"/>
      <c r="F167" s="185" t="n"/>
      <c r="G167" s="184" t="n"/>
    </row>
    <row r="168" ht="19.5" customHeight="1" s="89">
      <c r="A168" s="186" t="inlineStr">
        <is>
          <t>🌅 아침 크로스체크</t>
        </is>
      </c>
      <c r="B168" s="184" t="n"/>
      <c r="C168" s="186" t="inlineStr">
        <is>
          <t>☐ 전날 순서대로 실행됨  ☐ 위 작업 전부 완료  ☐ git commit 완료  ☐ 전날 백업 실행(backup_push.ps1/.bat 더블클릭 → git push+Desktop 미러백업)</t>
        </is>
      </c>
      <c r="D168" s="185" t="n"/>
      <c r="E168" s="185" t="n"/>
      <c r="F168" s="184" t="n"/>
      <c r="G168" s="186" t="inlineStr">
        <is>
          <t>메모:</t>
        </is>
      </c>
    </row>
    <row r="170" ht="24" customHeight="1" s="89">
      <c r="A170" s="178" t="inlineStr">
        <is>
          <t>📅 2026-09-21(월)  ·  19일차  ·  작업 2건</t>
        </is>
      </c>
    </row>
    <row r="171" ht="18" customHeight="1" s="89">
      <c r="A171" s="179" t="inlineStr">
        <is>
          <t>🎯 오늘의 타이틀: 외국인 게스트 언어 자동감지 + 다국어(영/중/일) 응답 생성</t>
        </is>
      </c>
    </row>
    <row r="172" ht="15" customHeight="1" s="89">
      <c r="A172" s="180" t="inlineStr">
        <is>
          <t>순서</t>
        </is>
      </c>
      <c r="B172" s="180" t="inlineStr">
        <is>
          <t>세부 작업</t>
        </is>
      </c>
      <c r="C172" s="180" t="inlineStr">
        <is>
          <t>활용도구</t>
        </is>
      </c>
      <c r="D172" s="180" t="inlineStr">
        <is>
          <t>파일 위치</t>
        </is>
      </c>
      <c r="E172" s="180" t="inlineStr">
        <is>
          <t>핵심포인트 / 주의할 점</t>
        </is>
      </c>
      <c r="F172" s="180" t="inlineStr">
        <is>
          <t>확인방법</t>
        </is>
      </c>
      <c r="G172" s="180" t="inlineStr">
        <is>
          <t>완료</t>
        </is>
      </c>
    </row>
    <row r="173" ht="48" customHeight="1" s="89">
      <c r="A173" s="181" t="n">
        <v>1</v>
      </c>
      <c r="B173" s="182" t="inlineStr">
        <is>
          <t>AI 문의 엔드포인트 Rate Limit(IP당 분당10회) + LLM 사용량 로깅(토큰/지연/상태 기록)</t>
        </is>
      </c>
      <c r="C173" s="182" t="inlineStr">
        <is>
          <t>Claude Code(직접실행)</t>
        </is>
      </c>
      <c r="D173" s="182" t="inlineStr">
        <is>
          <t>backend/ 또는 frontend/ (세부 위치는 해당일 착수시 확정)</t>
        </is>
      </c>
      <c r="E173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73" s="182" t="inlineStr">
        <is>
          <t>실제 호출해보고 응답 품질과 호출 횟수(비용)를 함께 확인</t>
        </is>
      </c>
      <c r="G173" s="181" t="inlineStr">
        <is>
          <t>☐</t>
        </is>
      </c>
    </row>
    <row r="174" ht="48" customHeight="1" s="89">
      <c r="A174" s="181" t="n">
        <v>2</v>
      </c>
      <c r="B174" s="182" t="inlineStr">
        <is>
          <t>외국인 게스트 언어 자동감지 + 다국어(영/중/일) 응답 생성</t>
        </is>
      </c>
      <c r="C174" s="182" t="inlineStr">
        <is>
          <t>Claude Code(직접실행)</t>
        </is>
      </c>
      <c r="D174" s="182" t="inlineStr">
        <is>
          <t>backend/app/services/ai_agent.py</t>
        </is>
      </c>
      <c r="E174" s="182" t="inlineStr">
        <is>
          <t>▶ 영어/중국어/일본어 3개국어로 범위 고정
⚠ 언어 지원 확대는 범위관리 원칙상 금지(2차로 미룰 것)</t>
        </is>
      </c>
      <c r="F174" s="182" t="inlineStr">
        <is>
          <t>3개국어 각각 질문을 던져 자연스러운 답변이 나오는지 확인</t>
        </is>
      </c>
      <c r="G174" s="181" t="inlineStr">
        <is>
          <t>☐</t>
        </is>
      </c>
    </row>
    <row r="175" ht="109.5" customHeight="1" s="89">
      <c r="A175" s="183" t="inlineStr">
        <is>
          <t>🎬 오늘의 시나리오</t>
        </is>
      </c>
      <c r="B175" s="184" t="n"/>
      <c r="C175" s="183" t="inlineStr">
        <is>
          <t>[상황] 외국인 게스트(영/중/일)가 각자 자기 언어로 문의를 보냄
[동작] ① 문의 언어 자동감지 ② 감지된 언어로 자동 응답 생성
[원칙 없었다면] 한국어로만 응답하면 외국인 게스트 응대라는 핵심 가치 자체가 성립 안 함</t>
        </is>
      </c>
      <c r="D175" s="185" t="n"/>
      <c r="E175" s="185" t="n"/>
      <c r="F175" s="185" t="n"/>
      <c r="G175" s="184" t="n"/>
    </row>
    <row r="176" ht="19.5" customHeight="1" s="89">
      <c r="A176" s="186" t="inlineStr">
        <is>
          <t>🌅 아침 크로스체크</t>
        </is>
      </c>
      <c r="B176" s="184" t="n"/>
      <c r="C176" s="186" t="inlineStr">
        <is>
          <t>☐ 전날 순서대로 실행됨  ☐ 위 작업 전부 완료  ☐ git commit 완료  ☐ 전날 백업 실행(backup_push.ps1/.bat 더블클릭 → git push+Desktop 미러백업)</t>
        </is>
      </c>
      <c r="D176" s="185" t="n"/>
      <c r="E176" s="185" t="n"/>
      <c r="F176" s="184" t="n"/>
      <c r="G176" s="186" t="inlineStr">
        <is>
          <t>메모:</t>
        </is>
      </c>
    </row>
    <row r="178" ht="24" customHeight="1" s="89">
      <c r="A178" s="178" t="inlineStr">
        <is>
          <t>📅 2026-09-22(화)  ·  20일차  ·  작업 2건</t>
        </is>
      </c>
    </row>
    <row r="179" ht="18" customHeight="1" s="89">
      <c r="A179" s="179" t="inlineStr">
        <is>
          <t>🎯 오늘의 타이틀: 위험도 분류 적용(자동:와이파이/체크인시간/주차/비번 vs 승인필요:환불/변경/할인/보상/민원/고장/안전)</t>
        </is>
      </c>
    </row>
    <row r="180" ht="15" customHeight="1" s="89">
      <c r="A180" s="180" t="inlineStr">
        <is>
          <t>순서</t>
        </is>
      </c>
      <c r="B180" s="180" t="inlineStr">
        <is>
          <t>세부 작업</t>
        </is>
      </c>
      <c r="C180" s="180" t="inlineStr">
        <is>
          <t>활용도구</t>
        </is>
      </c>
      <c r="D180" s="180" t="inlineStr">
        <is>
          <t>파일 위치</t>
        </is>
      </c>
      <c r="E180" s="180" t="inlineStr">
        <is>
          <t>핵심포인트 / 주의할 점</t>
        </is>
      </c>
      <c r="F180" s="180" t="inlineStr">
        <is>
          <t>확인방법</t>
        </is>
      </c>
      <c r="G180" s="180" t="inlineStr">
        <is>
          <t>완료</t>
        </is>
      </c>
    </row>
    <row r="181" ht="48" customHeight="1" s="89">
      <c r="A181" s="181" t="n">
        <v>1</v>
      </c>
      <c r="B181" s="182" t="inlineStr">
        <is>
          <t>위험도 분류 적용(자동:와이파이/체크인시간/주차/비번 vs 승인필요:환불/변경/할인/보상/민원/고장/안전)</t>
        </is>
      </c>
      <c r="C181" s="182" t="inlineStr">
        <is>
          <t>Gemini(검토보조)</t>
        </is>
      </c>
      <c r="D181" s="182" t="inlineStr">
        <is>
          <t>backend/app/services/ai_agent.py</t>
        </is>
      </c>
      <c r="E181" s="182" t="inlineStr">
        <is>
          <t>▶ 자동응답(와이파이/체크인시간/주차/비번)과 승인필요(환불/변경/할인/보상/민원/고장/안전)를 명확히 분리
⚠ 이 기준표가 불명확하면 고위험 문의가 실수로 자동발송될 위험</t>
        </is>
      </c>
      <c r="F181" s="182" t="inlineStr">
        <is>
          <t>각 카테고리 질문을 실제로 넣어 자동/승인대기가 기준표대로 정확히 갈리는지 확인</t>
        </is>
      </c>
      <c r="G181" s="181" t="inlineStr">
        <is>
          <t>☐</t>
        </is>
      </c>
    </row>
    <row r="182" ht="48" customHeight="1" s="89">
      <c r="A182" s="181" t="n">
        <v>2</v>
      </c>
      <c r="B182" s="182" t="inlineStr">
        <is>
          <t>체크인/체크아웃 안내, 리뷰요청 자동화</t>
        </is>
      </c>
      <c r="C182" s="182" t="inlineStr">
        <is>
          <t>Claude Code(직접실행)</t>
        </is>
      </c>
      <c r="D182" s="182" t="inlineStr">
        <is>
          <t>backend/app/services/notification.py</t>
        </is>
      </c>
      <c r="E182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82" s="182" t="inlineStr">
        <is>
          <t>실제 호출해보고 응답 품질과 호출 횟수(비용)를 함께 확인</t>
        </is>
      </c>
      <c r="G182" s="181" t="inlineStr">
        <is>
          <t>☐</t>
        </is>
      </c>
    </row>
    <row r="183" ht="109.5" customHeight="1" s="89">
      <c r="A183" s="183" t="inlineStr">
        <is>
          <t>🎬 오늘의 시나리오</t>
        </is>
      </c>
      <c r="B183" s="184" t="n"/>
      <c r="C183" s="183" t="inlineStr">
        <is>
          <t>[상황] 게스트가 '환불해주세요'처럼 금전이 걸린 문의를 보내는 경우
[동작] ① 위험도를 자동(와이파이 등) vs 승인필요(환불·변경 등)로 분류 ② 승인필요 건은 Action Center에서 호스트 확인 후에만 발송
[원칙 없었다면] 구분 없이 전부 자동응답하면 AI가 호스트도 모르게 환불을 약속하는 사고 위험</t>
        </is>
      </c>
      <c r="D183" s="185" t="n"/>
      <c r="E183" s="185" t="n"/>
      <c r="F183" s="185" t="n"/>
      <c r="G183" s="184" t="n"/>
    </row>
    <row r="184" ht="19.5" customHeight="1" s="89">
      <c r="A184" s="186" t="inlineStr">
        <is>
          <t>🌅 아침 크로스체크</t>
        </is>
      </c>
      <c r="B184" s="184" t="n"/>
      <c r="C184" s="186" t="inlineStr">
        <is>
          <t>☐ 전날 순서대로 실행됨  ☐ 위 작업 전부 완료  ☐ git commit 완료  ☐ 전날 백업 실행(backup_push.ps1/.bat 더블클릭 → git push+Desktop 미러백업)</t>
        </is>
      </c>
      <c r="D184" s="185" t="n"/>
      <c r="E184" s="185" t="n"/>
      <c r="F184" s="184" t="n"/>
      <c r="G184" s="186" t="inlineStr">
        <is>
          <t>메모:</t>
        </is>
      </c>
    </row>
    <row r="186" ht="24" customHeight="1" s="89">
      <c r="A186" s="178" t="inlineStr">
        <is>
          <t>📅 2026-09-23(수)  ·  21일차  ·  작업 4건</t>
        </is>
      </c>
    </row>
    <row r="187" ht="18" customHeight="1" s="89">
      <c r="A187" s="179" t="inlineStr">
        <is>
          <t>🎯 오늘의 타이틀: 예약 상세화면→AI대화내역→Action Center 처리이력으로 이어지는 통합 딥링크/단일플로우 구현</t>
        </is>
      </c>
    </row>
    <row r="188" ht="15" customHeight="1" s="89">
      <c r="A188" s="180" t="inlineStr">
        <is>
          <t>순서</t>
        </is>
      </c>
      <c r="B188" s="180" t="inlineStr">
        <is>
          <t>세부 작업</t>
        </is>
      </c>
      <c r="C188" s="180" t="inlineStr">
        <is>
          <t>활용도구</t>
        </is>
      </c>
      <c r="D188" s="180" t="inlineStr">
        <is>
          <t>파일 위치</t>
        </is>
      </c>
      <c r="E188" s="180" t="inlineStr">
        <is>
          <t>핵심포인트 / 주의할 점</t>
        </is>
      </c>
      <c r="F188" s="180" t="inlineStr">
        <is>
          <t>확인방법</t>
        </is>
      </c>
      <c r="G188" s="180" t="inlineStr">
        <is>
          <t>완료</t>
        </is>
      </c>
    </row>
    <row r="189" ht="48" customHeight="1" s="89">
      <c r="A189" s="181" t="n">
        <v>1</v>
      </c>
      <c r="B189" s="182" t="inlineStr">
        <is>
          <t>AI/iCal 실패시 에러 Toast·Fallback 안내 처리</t>
        </is>
      </c>
      <c r="C189" s="182" t="inlineStr">
        <is>
          <t>Claude Code(직접실행)</t>
        </is>
      </c>
      <c r="D189" s="182" t="inlineStr">
        <is>
          <t>backend/app/services/ical_sync.py</t>
        </is>
      </c>
      <c r="E189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89" s="182" t="inlineStr">
        <is>
          <t>실제 호출해보고 응답 품질과 호출 횟수(비용)를 함께 확인</t>
        </is>
      </c>
      <c r="G189" s="181" t="inlineStr">
        <is>
          <t>☐</t>
        </is>
      </c>
    </row>
    <row r="190" ht="48" customHeight="1" s="89">
      <c r="A190" s="181" t="n">
        <v>2</v>
      </c>
      <c r="B190" s="182" t="inlineStr">
        <is>
          <t>AI 답변 '근거' 표시 UI(참고 KB 나열) + 마크다운 렌더링 처리</t>
        </is>
      </c>
      <c r="C190" s="182" t="inlineStr">
        <is>
          <t>Claude Code(직접실행)</t>
        </is>
      </c>
      <c r="D190" s="182" t="inlineStr">
        <is>
          <t>backend/app/services/ai_agent.py</t>
        </is>
      </c>
      <c r="E190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90" s="182" t="inlineStr">
        <is>
          <t>실제 호출해보고 응답 품질과 호출 횟수(비용)를 함께 확인</t>
        </is>
      </c>
      <c r="G190" s="181" t="inlineStr">
        <is>
          <t>☐</t>
        </is>
      </c>
    </row>
    <row r="191" ht="48" customHeight="1" s="89">
      <c r="A191" s="181" t="n">
        <v>3</v>
      </c>
      <c r="B191" s="182" t="inlineStr">
        <is>
          <t>예약 상세화면→AI대화내역→Action Center 처리이력으로 이어지는 통합 딥링크/단일플로우 구현</t>
        </is>
      </c>
      <c r="C191" s="182" t="inlineStr">
        <is>
          <t>Claude Code(직접실행)</t>
        </is>
      </c>
      <c r="D191" s="182" t="inlineStr">
        <is>
          <t>frontend/src/pages/Calendar.tsx (예약 상세 모달) + pages/Inbox.tsx + pages/Actions.tsx</t>
        </is>
      </c>
      <c r="E191" s="182" t="inlineStr">
        <is>
          <t>▶ 예약 상세는 별도 라우트가 아니라 캘린더 내 모달이다(ui_design 4-5절) — 모달에서 AI 대화내역·액션센터로 나가는 링크를 건다
⚠ ReservationDetail.jsx라는 페이지는 라우트 목록에 없다(9/15 확인). 없는 화면을 만들지 말고 기존 모달에 딥링크를 붙인다</t>
        </is>
      </c>
      <c r="F191" s="182" t="inlineStr">
        <is>
          <t>예약 모달 → AI 대화내역 → 액션센터 처리이력까지 클릭으로 끊김 없이 이동되는지 브라우저에서 눈으로 확인</t>
        </is>
      </c>
      <c r="G191" s="181" t="inlineStr">
        <is>
          <t>☐</t>
        </is>
      </c>
    </row>
    <row r="192" ht="48" customHeight="1" s="89">
      <c r="A192" s="181" t="n">
        <v>4</v>
      </c>
      <c r="B192" s="182" t="inlineStr">
        <is>
          <t>중간 회귀체크포인트1: 1~3단계 기능 통합 재확인(예약→AI응대까지 흐름 재실행)</t>
        </is>
      </c>
      <c r="C192" s="182" t="inlineStr">
        <is>
          <t>Claude Code(직접실행)</t>
        </is>
      </c>
      <c r="D192" s="182" t="inlineStr">
        <is>
          <t>backend/tests/test_integration_1.py</t>
        </is>
      </c>
      <c r="E192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92" s="182" t="inlineStr">
        <is>
          <t>실제 호출해보고 응답 품질과 호출 횟수(비용)를 함께 확인</t>
        </is>
      </c>
      <c r="G192" s="181" t="inlineStr">
        <is>
          <t>☐</t>
        </is>
      </c>
    </row>
    <row r="193" ht="109.5" customHeight="1" s="89">
      <c r="A193" s="183" t="inlineStr">
        <is>
          <t>🎬 오늘의 시나리오</t>
        </is>
      </c>
      <c r="B193" s="184" t="n"/>
      <c r="C193" s="183" t="inlineStr">
        <is>
          <t>[상황] 예약 확인→AI대화 확인→처리결과 확인이 화면마다 따로 놀면 'API 조합 툴'처럼 보임
[동작] ① 예약상세→AI대화내역→Action Center 처리이력을 하나의 흐름으로 딥링크 연결
[원칙 없었다면] 화면이 분리돼 있으면 호스트가 매번 여러 메뉴를 오가며 정보를 짜맞춰야 함</t>
        </is>
      </c>
      <c r="D193" s="185" t="n"/>
      <c r="E193" s="185" t="n"/>
      <c r="F193" s="185" t="n"/>
      <c r="G193" s="184" t="n"/>
    </row>
    <row r="194" ht="19.5" customHeight="1" s="89">
      <c r="A194" s="186" t="inlineStr">
        <is>
          <t>🌅 아침 크로스체크</t>
        </is>
      </c>
      <c r="B194" s="184" t="n"/>
      <c r="C194" s="186" t="inlineStr">
        <is>
          <t>☐ 전날 순서대로 실행됨  ☐ 위 작업 전부 완료  ☐ git commit 완료  ☐ 전날 백업 실행(backup_push.ps1/.bat 더블클릭 → git push+Desktop 미러백업)</t>
        </is>
      </c>
      <c r="D194" s="185" t="n"/>
      <c r="E194" s="185" t="n"/>
      <c r="F194" s="184" t="n"/>
      <c r="G194" s="186" t="inlineStr">
        <is>
          <t>메모:</t>
        </is>
      </c>
    </row>
    <row r="196" ht="24" customHeight="1" s="89">
      <c r="A196" s="178" t="inlineStr">
        <is>
          <t>📅 2026-09-24(목)  ·  22일차  ·  작업 2건</t>
        </is>
      </c>
    </row>
    <row r="197" ht="18" customHeight="1" s="89">
      <c r="A197" s="179" t="inlineStr">
        <is>
          <t>🎯 오늘의 타이틀: ✅ 3단계 검증: 교차오답 테스트 + 의도적 API실패 유발후 에러UI 확인</t>
        </is>
      </c>
    </row>
    <row r="198" ht="15" customHeight="1" s="89">
      <c r="A198" s="180" t="inlineStr">
        <is>
          <t>순서</t>
        </is>
      </c>
      <c r="B198" s="180" t="inlineStr">
        <is>
          <t>세부 작업</t>
        </is>
      </c>
      <c r="C198" s="180" t="inlineStr">
        <is>
          <t>활용도구</t>
        </is>
      </c>
      <c r="D198" s="180" t="inlineStr">
        <is>
          <t>파일 위치</t>
        </is>
      </c>
      <c r="E198" s="180" t="inlineStr">
        <is>
          <t>핵심포인트 / 주의할 점</t>
        </is>
      </c>
      <c r="F198" s="180" t="inlineStr">
        <is>
          <t>확인방법</t>
        </is>
      </c>
      <c r="G198" s="180" t="inlineStr">
        <is>
          <t>완료</t>
        </is>
      </c>
    </row>
    <row r="199" ht="48" customHeight="1" s="89">
      <c r="A199" s="181" t="n">
        <v>1</v>
      </c>
      <c r="B199" s="182" t="inlineStr">
        <is>
          <t>✅ 3단계 검증: 교차오답 테스트 + 의도적 API실패 유발후 에러UI 확인</t>
        </is>
      </c>
      <c r="C199" s="182" t="inlineStr">
        <is>
          <t>Claude Code(직접실행)</t>
        </is>
      </c>
      <c r="D199" s="182" t="inlineStr">
        <is>
          <t>backend/ 또는 frontend/ (세부 위치는 해당일 착수시 확정)</t>
        </is>
      </c>
      <c r="E199" s="182" t="inlineStr">
        <is>
          <t>▶ 비용통제 아키텍처(1회 통합호출) 원칙을 벗어나지 않는다
⚠ property_id 스코프 누락시 교차오답(다른 숙소 정보 노출)이라는 치명적 버그가 생김</t>
        </is>
      </c>
      <c r="F199" s="182" t="inlineStr">
        <is>
          <t>실제 호출해보고 응답 품질과 호출 횟수(비용)를 함께 확인</t>
        </is>
      </c>
      <c r="G199" s="181" t="inlineStr">
        <is>
          <t>☐</t>
        </is>
      </c>
    </row>
    <row r="200" ht="48" customHeight="1" s="89">
      <c r="A200" s="181" t="n">
        <v>2</v>
      </c>
      <c r="B200" s="182" t="inlineStr">
        <is>
          <t>청소 상태머신 구현(PENDING→ASSIGNED→IN_PROGRESS→COMPLETED→VERIFIED/ISSUE)</t>
        </is>
      </c>
      <c r="C200" s="182" t="inlineStr">
        <is>
          <t>Gemini(검토보조)</t>
        </is>
      </c>
      <c r="D200" s="182" t="inlineStr">
        <is>
          <t>backend/app/models/cleaning.py</t>
        </is>
      </c>
      <c r="E200" s="182" t="inlineStr">
        <is>
          <t>▶ PENDING→ASSIGNED→IN_PROGRESS→COMPLETED→VERIFIED/ISSUE 순서 준수
⚠ COMPLETED와 VERIFIED 둘 다 '완료'로 취급하지 않으면 Action Center가 VERIFIED건까지 긴급알림으로 오탐</t>
        </is>
      </c>
      <c r="F200" s="182" t="inlineStr">
        <is>
          <t>VERIFIED 상태의 청소건이 Action Center 긴급알림에 안 잡히는지 확인</t>
        </is>
      </c>
      <c r="G200" s="181" t="inlineStr">
        <is>
          <t>☐</t>
        </is>
      </c>
    </row>
    <row r="201" ht="109.5" customHeight="1" s="89">
      <c r="A201" s="183" t="inlineStr">
        <is>
          <t>🎬 오늘의 시나리오</t>
        </is>
      </c>
      <c r="B201" s="184" t="n"/>
      <c r="C201" s="183" t="inlineStr">
        <is>
          <t>[상황] 3단계(고객응대자동화) 마무리 시점, AI가 실제로 안전하게 동작하는지 확인 필요
[동작] ① 교차오답 테스트(다른 숙소 정보 유출 여부) ② 의도적으로 API 실패 유발 후 에러UI 확인
[원칙 없었다면] 검증 없이 넘어가면 실제 게스트 응대 중 교차오답이나 먹통 화면을 처음 마주하게 됨</t>
        </is>
      </c>
      <c r="D201" s="185" t="n"/>
      <c r="E201" s="185" t="n"/>
      <c r="F201" s="185" t="n"/>
      <c r="G201" s="184" t="n"/>
    </row>
    <row r="202" ht="19.5" customHeight="1" s="89">
      <c r="A202" s="187" t="inlineStr">
        <is>
          <t>🌅 아침 크로스체크</t>
        </is>
      </c>
      <c r="B202" s="184" t="n"/>
      <c r="C202" s="187" t="inlineStr">
        <is>
          <t>☐ 전날 순서대로 실행됨  ☐ 위 작업 전부 완료  ☐ git commit 완료  ☐ 전날 백업 실행(backup_push.ps1/.bat 더블클릭 → git push+Desktop 미러백업)  ☐ 검증 체크 완료  ☐ 🔍 오늘은 검증일! DoD 결과 '9단계 검증 체크리스트' 시트에 기록</t>
        </is>
      </c>
      <c r="D202" s="185" t="n"/>
      <c r="E202" s="185" t="n"/>
      <c r="F202" s="184" t="n"/>
      <c r="G202" s="187" t="inlineStr">
        <is>
          <t>메모:</t>
        </is>
      </c>
    </row>
    <row r="204" ht="24" customHeight="1" s="89">
      <c r="A204" s="178" t="inlineStr">
        <is>
          <t>📅 2026-09-25(금)  ·  23일차  ·  작업 3건</t>
        </is>
      </c>
    </row>
    <row r="205" ht="18" customHeight="1" s="89">
      <c r="A205" s="179" t="inlineStr">
        <is>
          <t>🎯 오늘의 타이틀: 예약확정 시점 청소작업 선제생성 로직(scheduled_at=체크아웃 시각, 9/3 크로스체크로 시점 정정 — 전날알림 기능 성립을 위해 필요)</t>
        </is>
      </c>
    </row>
    <row r="206" ht="15" customHeight="1" s="89">
      <c r="A206" s="180" t="inlineStr">
        <is>
          <t>순서</t>
        </is>
      </c>
      <c r="B206" s="180" t="inlineStr">
        <is>
          <t>세부 작업</t>
        </is>
      </c>
      <c r="C206" s="180" t="inlineStr">
        <is>
          <t>활용도구</t>
        </is>
      </c>
      <c r="D206" s="180" t="inlineStr">
        <is>
          <t>파일 위치</t>
        </is>
      </c>
      <c r="E206" s="180" t="inlineStr">
        <is>
          <t>핵심포인트 / 주의할 점</t>
        </is>
      </c>
      <c r="F206" s="180" t="inlineStr">
        <is>
          <t>확인방법</t>
        </is>
      </c>
      <c r="G206" s="180" t="inlineStr">
        <is>
          <t>완료</t>
        </is>
      </c>
    </row>
    <row r="207" ht="48" customHeight="1" s="89">
      <c r="A207" s="181" t="n">
        <v>1</v>
      </c>
      <c r="B207" s="182" t="inlineStr">
        <is>
          <t>예약확정시 임시 비밀번호 자동생성/만료 로직</t>
        </is>
      </c>
      <c r="C207" s="182" t="inlineStr">
        <is>
          <t>Claude Code(직접실행)</t>
        </is>
      </c>
      <c r="D207" s="182" t="inlineStr">
        <is>
          <t>backend/app/services/doorlock_mock.py</t>
        </is>
      </c>
      <c r="E207" s="182" t="inlineStr">
        <is>
          <t>▶ Mock임을 화면에서 명확히 알 수 있게 한다
⚠ 실제 연동처럼 보이는 문구나 UI를 쓰지 않는다</t>
        </is>
      </c>
      <c r="F207" s="182" t="inlineStr">
        <is>
          <t>화면에 시뮬레이션 표시가 있는지 육안 확인</t>
        </is>
      </c>
      <c r="G207" s="181" t="inlineStr">
        <is>
          <t>☐</t>
        </is>
      </c>
    </row>
    <row r="208" ht="48" customHeight="1" s="89">
      <c r="A208" s="181" t="n">
        <v>2</v>
      </c>
      <c r="B208" s="182" t="inlineStr">
        <is>
          <t>예약확정 시점 청소작업 선제생성 로직(scheduled_at=체크아웃 시각, 9/3 크로스체크로 시점 정정 — 전날알림 기능 성립을 위해 필요)</t>
        </is>
      </c>
      <c r="C208" s="182" t="inlineStr">
        <is>
          <t>Claude Code(직접실행)</t>
        </is>
      </c>
      <c r="D208" s="182" t="inlineStr">
        <is>
          <t>backend/ 또는 frontend/ (세부 위치는 해당일 착수시 확정)</t>
        </is>
      </c>
      <c r="E208" s="182" t="inlineStr">
        <is>
          <t>▶ 상태머신 순서(PENDING~VERIFIED/ISSUE)를 정확히 지킨다
⚠ 체크아웃 이벤트당 청소작업이 중복 생성되지 않게 한다</t>
        </is>
      </c>
      <c r="F208" s="182" t="inlineStr">
        <is>
          <t>상태 전이를 하나씩 실제로 눌러보며 순서대로 넘어가는지 확인</t>
        </is>
      </c>
      <c r="G208" s="181" t="inlineStr">
        <is>
          <t>☐</t>
        </is>
      </c>
    </row>
    <row r="209" ht="48" customHeight="1" s="89">
      <c r="A209" s="181" t="n">
        <v>3</v>
      </c>
      <c r="B209" s="182" t="inlineStr">
        <is>
          <t>예약변경시 청소시간 자동 재계산 로직</t>
        </is>
      </c>
      <c r="C209" s="182" t="inlineStr">
        <is>
          <t>Claude Code(직접실행)</t>
        </is>
      </c>
      <c r="D209" s="182" t="inlineStr">
        <is>
          <t>backend/app/services/cleaning.py</t>
        </is>
      </c>
      <c r="E209" s="182" t="inlineStr">
        <is>
          <t>▶ 상태머신 순서(PENDING~VERIFIED/ISSUE)를 정확히 지킨다
⚠ 체크아웃 이벤트당 청소작업이 중복 생성되지 않게 한다</t>
        </is>
      </c>
      <c r="F209" s="182" t="inlineStr">
        <is>
          <t>상태 전이를 하나씩 실제로 눌러보며 순서대로 넘어가는지 확인</t>
        </is>
      </c>
      <c r="G209" s="181" t="inlineStr">
        <is>
          <t>☐</t>
        </is>
      </c>
    </row>
    <row r="210" ht="109.5" customHeight="1" s="89">
      <c r="A210" s="183" t="inlineStr">
        <is>
          <t>🎬 오늘의 시나리오</t>
        </is>
      </c>
      <c r="B210" s="184" t="n"/>
      <c r="C210" s="183" t="inlineStr">
        <is>
          <t>[상황] 체크인 시각이 된 게스트에게 출입 방법을 안전하게 안내해야 함
[동작] ① 예약확정시 임시 비밀번호 자동생성 ② 체크아웃 시각에 자동 만료 처리(Mock)
[원칙 없었다면] 수동 발급이면 깜빡하고 비밀번호를 안 보내 게스트가 문 앞에서 못 들어가는 사고</t>
        </is>
      </c>
      <c r="D210" s="185" t="n"/>
      <c r="E210" s="185" t="n"/>
      <c r="F210" s="185" t="n"/>
      <c r="G210" s="184" t="n"/>
    </row>
    <row r="211" ht="19.5" customHeight="1" s="89">
      <c r="A211" s="186" t="inlineStr">
        <is>
          <t>🌅 아침 크로스체크</t>
        </is>
      </c>
      <c r="B211" s="184" t="n"/>
      <c r="C211" s="186" t="inlineStr">
        <is>
          <t>☐ 전날 순서대로 실행됨  ☐ 위 작업 전부 완료  ☐ git commit 완료  ☐ 전날 백업 실행(backup_push.ps1/.bat 더블클릭 → git push+Desktop 미러백업)</t>
        </is>
      </c>
      <c r="D211" s="185" t="n"/>
      <c r="E211" s="185" t="n"/>
      <c r="F211" s="184" t="n"/>
      <c r="G211" s="186" t="inlineStr">
        <is>
          <t>메모:</t>
        </is>
      </c>
    </row>
    <row r="213" ht="24" customHeight="1" s="89">
      <c r="A213" s="178" t="inlineStr">
        <is>
          <t>📅 2026-09-26(토)  ·  24일차  ·  작업 3건</t>
        </is>
      </c>
    </row>
    <row r="214" ht="18" customHeight="1" s="89">
      <c r="A214" s="179" t="inlineStr">
        <is>
          <t>🎯 오늘의 타이틀: Empty State/에러처리 청소·체크인 화면 반영</t>
        </is>
      </c>
    </row>
    <row r="215" ht="15" customHeight="1" s="89">
      <c r="A215" s="180" t="inlineStr">
        <is>
          <t>순서</t>
        </is>
      </c>
      <c r="B215" s="180" t="inlineStr">
        <is>
          <t>세부 작업</t>
        </is>
      </c>
      <c r="C215" s="180" t="inlineStr">
        <is>
          <t>활용도구</t>
        </is>
      </c>
      <c r="D215" s="180" t="inlineStr">
        <is>
          <t>파일 위치</t>
        </is>
      </c>
      <c r="E215" s="180" t="inlineStr">
        <is>
          <t>핵심포인트 / 주의할 점</t>
        </is>
      </c>
      <c r="F215" s="180" t="inlineStr">
        <is>
          <t>확인방법</t>
        </is>
      </c>
      <c r="G215" s="180" t="inlineStr">
        <is>
          <t>완료</t>
        </is>
      </c>
    </row>
    <row r="216" ht="48" customHeight="1" s="89">
      <c r="A216" s="181" t="n">
        <v>1</v>
      </c>
      <c r="B216" s="182" t="inlineStr">
        <is>
          <t>Empty State/에러처리 청소·체크인 화면 반영</t>
        </is>
      </c>
      <c r="C216" s="182" t="inlineStr">
        <is>
          <t>Claude Code(직접실행)</t>
        </is>
      </c>
      <c r="D216" s="182" t="inlineStr">
        <is>
          <t>frontend/src/pages/Cleaning.jsx</t>
        </is>
      </c>
      <c r="E216" s="182" t="inlineStr">
        <is>
          <t>▶ 상태머신 순서(PENDING~VERIFIED/ISSUE)를 정확히 지킨다
⚠ 체크아웃 이벤트당 청소작업이 중복 생성되지 않게 한다</t>
        </is>
      </c>
      <c r="F216" s="182" t="inlineStr">
        <is>
          <t>상태 전이를 하나씩 실제로 눌러보며 순서대로 넘어가는지 확인</t>
        </is>
      </c>
      <c r="G216" s="181" t="inlineStr">
        <is>
          <t>☐</t>
        </is>
      </c>
    </row>
    <row r="217" ht="48" customHeight="1" s="89">
      <c r="A217" s="181" t="n">
        <v>2</v>
      </c>
      <c r="B217" s="182" t="inlineStr">
        <is>
          <t>스마트락 100% Mock 확정 + '시뮬레이션' 뱃지 표시</t>
        </is>
      </c>
      <c r="C217" s="182" t="inlineStr">
        <is>
          <t>Claude Code(직접실행)</t>
        </is>
      </c>
      <c r="D217" s="182" t="inlineStr">
        <is>
          <t>backend/app/services/doorlock_mock.py</t>
        </is>
      </c>
      <c r="E217" s="182" t="inlineStr">
        <is>
          <t>▶ 1개도 실연동 시도하지 않고 개발 착수부터 100% Mock으로 확정(시간 확보)
⚠ 화면에 '시뮬레이션'임을 명확히 표시해야 함 — 실제 연동처럼 보이면 심사 시 오해 소지</t>
        </is>
      </c>
      <c r="F217" s="182" t="inlineStr">
        <is>
          <t>화면에 Mock 뱃지가 육안으로 확인되는지</t>
        </is>
      </c>
      <c r="G217" s="181" t="inlineStr">
        <is>
          <t>☐</t>
        </is>
      </c>
    </row>
    <row r="218" ht="48" customHeight="1" s="89">
      <c r="A218" s="181" t="n">
        <v>3</v>
      </c>
      <c r="B218" s="182" t="inlineStr">
        <is>
          <t>Mock 락 상태 대시보드(잠김/열림/배터리)</t>
        </is>
      </c>
      <c r="C218" s="182" t="inlineStr">
        <is>
          <t>Claude Code(직접실행)</t>
        </is>
      </c>
      <c r="D218" s="182" t="inlineStr">
        <is>
          <t>frontend/src/pages/Dashboard.tsx</t>
        </is>
      </c>
      <c r="E218" s="182" t="inlineStr">
        <is>
          <t>▶ Mock임을 화면에서 명확히 알 수 있게 한다
⚠ 실제 연동처럼 보이는 문구나 UI를 쓰지 않는다</t>
        </is>
      </c>
      <c r="F218" s="182" t="inlineStr">
        <is>
          <t>화면에 시뮬레이션 표시가 있는지 육안 확인</t>
        </is>
      </c>
      <c r="G218" s="181" t="inlineStr">
        <is>
          <t>☐</t>
        </is>
      </c>
    </row>
    <row r="219" ht="109.5" customHeight="1" s="89">
      <c r="A219" s="183" t="inlineStr">
        <is>
          <t>🎬 오늘의 시나리오</t>
        </is>
      </c>
      <c r="B219" s="184" t="n"/>
      <c r="C219" s="183" t="inlineStr">
        <is>
          <t>[상황] 실제 스마트락 하드웨어 없이도 잠김/열림 상태를 관리해야 함
[동작] ① Mock 락 상태 대시보드 구현(잠김/열림/배터리 표시) ② 실제 연동은 2차 과제로 명확히 구분
[원칙 없었다면] 실제 하드웨어 연동을 무리하게 시도했다면 부트캠프 기간 내 완성 자체가 불가능</t>
        </is>
      </c>
      <c r="D219" s="185" t="n"/>
      <c r="E219" s="185" t="n"/>
      <c r="F219" s="185" t="n"/>
      <c r="G219" s="184" t="n"/>
    </row>
    <row r="220" ht="19.5" customHeight="1" s="89">
      <c r="A220" s="186" t="inlineStr">
        <is>
          <t>🌅 아침 크로스체크</t>
        </is>
      </c>
      <c r="B220" s="184" t="n"/>
      <c r="C220" s="186" t="inlineStr">
        <is>
          <t>☐ 전날 순서대로 실행됨  ☐ 위 작업 전부 완료  ☐ git commit 완료  ☐ 전날 백업 실행(backup_push.ps1/.bat 더블클릭 → git push+Desktop 미러백업)</t>
        </is>
      </c>
      <c r="D220" s="185" t="n"/>
      <c r="E220" s="185" t="n"/>
      <c r="F220" s="184" t="n"/>
      <c r="G220" s="186" t="inlineStr">
        <is>
          <t>메모:</t>
        </is>
      </c>
    </row>
    <row r="222" ht="24" customHeight="1" s="89">
      <c r="A222" s="178" t="inlineStr">
        <is>
          <t>📅 2026-09-28(월)  ·  25일차  ·  작업 3건</t>
        </is>
      </c>
    </row>
    <row r="223" ht="18" customHeight="1" s="89">
      <c r="A223" s="179" t="inlineStr">
        <is>
          <t>🎯 오늘의 타이틀: 문자API(알리고 등) 청소업체 알림 자동발송</t>
        </is>
      </c>
    </row>
    <row r="224" ht="15" customHeight="1" s="89">
      <c r="A224" s="180" t="inlineStr">
        <is>
          <t>순서</t>
        </is>
      </c>
      <c r="B224" s="180" t="inlineStr">
        <is>
          <t>세부 작업</t>
        </is>
      </c>
      <c r="C224" s="180" t="inlineStr">
        <is>
          <t>활용도구</t>
        </is>
      </c>
      <c r="D224" s="180" t="inlineStr">
        <is>
          <t>파일 위치</t>
        </is>
      </c>
      <c r="E224" s="180" t="inlineStr">
        <is>
          <t>핵심포인트 / 주의할 점</t>
        </is>
      </c>
      <c r="F224" s="180" t="inlineStr">
        <is>
          <t>확인방법</t>
        </is>
      </c>
      <c r="G224" s="180" t="inlineStr">
        <is>
          <t>완료</t>
        </is>
      </c>
    </row>
    <row r="225" ht="48" customHeight="1" s="89">
      <c r="A225" s="181" t="n">
        <v>1</v>
      </c>
      <c r="B225" s="182" t="inlineStr">
        <is>
          <t>문자API(알리고 등) 청소업체 알림 자동발송</t>
        </is>
      </c>
      <c r="C225" s="182" t="inlineStr">
        <is>
          <t>Claude Code(직접실행)</t>
        </is>
      </c>
      <c r="D225" s="182" t="inlineStr">
        <is>
          <t>backend/app/services/sms.py</t>
        </is>
      </c>
      <c r="E225" s="182" t="inlineStr">
        <is>
          <t>▶ 상태머신 순서(PENDING~VERIFIED/ISSUE)를 정확히 지킨다
⚠ 체크아웃 이벤트당 청소작업이 중복 생성되지 않게 한다</t>
        </is>
      </c>
      <c r="F225" s="182" t="inlineStr">
        <is>
          <t>상태 전이를 하나씩 실제로 눌러보며 순서대로 넘어가는지 확인</t>
        </is>
      </c>
      <c r="G225" s="181" t="inlineStr">
        <is>
          <t>☐</t>
        </is>
      </c>
    </row>
    <row r="226" ht="48" customHeight="1" s="89">
      <c r="A226" s="181" t="n">
        <v>2</v>
      </c>
      <c r="B226" s="182" t="inlineStr">
        <is>
          <t>체크리스트+사진업로드 완료확인(VERIFIED 단계)</t>
        </is>
      </c>
      <c r="C226" s="182" t="inlineStr">
        <is>
          <t>Claude Code(직접실행)</t>
        </is>
      </c>
      <c r="D226" s="182" t="inlineStr">
        <is>
          <t>frontend/src/pages/Cleaning.jsx</t>
        </is>
      </c>
      <c r="E226" s="182" t="inlineStr">
        <is>
          <t>▶ 상태머신 순서(PENDING~VERIFIED/ISSUE)를 정확히 지킨다
⚠ 체크아웃 이벤트당 청소작업이 중복 생성되지 않게 한다</t>
        </is>
      </c>
      <c r="F226" s="182" t="inlineStr">
        <is>
          <t>상태 전이를 하나씩 실제로 눌러보며 순서대로 넘어가는지 확인</t>
        </is>
      </c>
      <c r="G226" s="181" t="inlineStr">
        <is>
          <t>☐</t>
        </is>
      </c>
    </row>
    <row r="227" ht="48" customHeight="1" s="89">
      <c r="A227" s="181" t="n">
        <v>3</v>
      </c>
      <c r="B227" s="182" t="inlineStr">
        <is>
          <t>호스텔 객실(Room)단위 정비 체크리스트 + 비품부족 체크박스</t>
        </is>
      </c>
      <c r="C227" s="182" t="inlineStr">
        <is>
          <t>Gemini(검토보조)</t>
        </is>
      </c>
      <c r="D227" s="182" t="inlineStr">
        <is>
          <t>frontend/src/pages/Cleaning.jsx</t>
        </is>
      </c>
      <c r="E227" s="182" t="inlineStr">
        <is>
          <t>▶ 상태머신 순서(PENDING~VERIFIED/ISSUE)를 정확히 지킨다
⚠ 체크아웃 이벤트당 청소작업이 중복 생성되지 않게 한다</t>
        </is>
      </c>
      <c r="F227" s="182" t="inlineStr">
        <is>
          <t>상태 전이를 하나씩 실제로 눌러보며 순서대로 넘어가는지 확인</t>
        </is>
      </c>
      <c r="G227" s="181" t="inlineStr">
        <is>
          <t>☐</t>
        </is>
      </c>
    </row>
    <row r="228" ht="109.5" customHeight="1" s="89">
      <c r="A228" s="183" t="inlineStr">
        <is>
          <t>🎬 오늘의 시나리오</t>
        </is>
      </c>
      <c r="B228" s="184" t="n"/>
      <c r="C228" s="183" t="inlineStr">
        <is>
          <t>[상황] 청소 작업이 시스템에 만들어져도 청소업체에 전달되지 않으면 화면 안에서만 도는 데이터
[동작] ① 청소업체에 문자로 자동 발송해 사람에게 실제로 닿게 함 ② 체크리스트와 사진으로 완료를 증빙받아 VERIFIED로 닫음 ③ 호스텔은 객실 단위로 정비 항목과 비품부족을 따로 체크
[원칙 없었다면] 호스트가 매번 전화로 청소를 부르고 끝났는지 눈으로 확인하러 가야 하며, 비품이 떨어진 걸 다음 게스트가 먼저 발견하게 됨</t>
        </is>
      </c>
      <c r="D228" s="185" t="n"/>
      <c r="E228" s="185" t="n"/>
      <c r="F228" s="185" t="n"/>
      <c r="G228" s="184" t="n"/>
    </row>
    <row r="229" ht="19.5" customHeight="1" s="89">
      <c r="A229" s="186" t="inlineStr">
        <is>
          <t>🌅 아침 크로스체크</t>
        </is>
      </c>
      <c r="B229" s="184" t="n"/>
      <c r="C229" s="186" t="inlineStr">
        <is>
          <t>☐ 전날 순서대로 실행됨  ☐ 위 작업 전부 완료  ☐ git commit 완료  ☐ 전날 백업 실행(backup_push.ps1/.bat 더블클릭 → git push+Desktop 미러백업)</t>
        </is>
      </c>
      <c r="D229" s="185" t="n"/>
      <c r="E229" s="185" t="n"/>
      <c r="F229" s="184" t="n"/>
      <c r="G229" s="186" t="inlineStr">
        <is>
          <t>메모:</t>
        </is>
      </c>
    </row>
    <row r="231" ht="24" customHeight="1" s="89">
      <c r="A231" s="178" t="inlineStr">
        <is>
          <t>📅 2026-09-29(화)  ·  26일차  ·  작업 2건</t>
        </is>
      </c>
    </row>
    <row r="232" ht="18" customHeight="1" s="89">
      <c r="A232" s="179" t="inlineStr">
        <is>
          <t>🎯 오늘의 타이틀: ✅ 4단계 검증: 체크아웃→청소생성→상태전이 전체 흐름 1회 시뮬레이션</t>
        </is>
      </c>
    </row>
    <row r="233" ht="15" customHeight="1" s="89">
      <c r="A233" s="180" t="inlineStr">
        <is>
          <t>순서</t>
        </is>
      </c>
      <c r="B233" s="180" t="inlineStr">
        <is>
          <t>세부 작업</t>
        </is>
      </c>
      <c r="C233" s="180" t="inlineStr">
        <is>
          <t>활용도구</t>
        </is>
      </c>
      <c r="D233" s="180" t="inlineStr">
        <is>
          <t>파일 위치</t>
        </is>
      </c>
      <c r="E233" s="180" t="inlineStr">
        <is>
          <t>핵심포인트 / 주의할 점</t>
        </is>
      </c>
      <c r="F233" s="180" t="inlineStr">
        <is>
          <t>확인방법</t>
        </is>
      </c>
      <c r="G233" s="180" t="inlineStr">
        <is>
          <t>완료</t>
        </is>
      </c>
    </row>
    <row r="234" ht="48" customHeight="1" s="89">
      <c r="A234" s="181" t="n">
        <v>1</v>
      </c>
      <c r="B234" s="182" t="inlineStr">
        <is>
          <t>✅ 4단계 검증: 체크아웃→청소생성→상태전이 전체 흐름 1회 시뮬레이션</t>
        </is>
      </c>
      <c r="C234" s="182" t="inlineStr">
        <is>
          <t>Claude(대화보조)</t>
        </is>
      </c>
      <c r="D234" s="182" t="inlineStr">
        <is>
          <t>docs/3rd_host_ai_db_spec_v1.md (상태전이 섹션 추가)</t>
        </is>
      </c>
      <c r="E234" s="182" t="inlineStr">
        <is>
          <t>▶ 상태머신 순서(PENDING~VERIFIED/ISSUE)를 정확히 지킨다
⚠ 체크아웃 이벤트당 청소작업이 중복 생성되지 않게 한다</t>
        </is>
      </c>
      <c r="F234" s="182" t="inlineStr">
        <is>
          <t>상태 전이를 하나씩 실제로 눌러보며 순서대로 넘어가는지 확인</t>
        </is>
      </c>
      <c r="G234" s="181" t="inlineStr">
        <is>
          <t>☐</t>
        </is>
      </c>
    </row>
    <row r="235" ht="48" customHeight="1" s="89">
      <c r="A235" s="181" t="n">
        <v>2</v>
      </c>
      <c r="B235" s="182" t="inlineStr">
        <is>
          <t>채널별 수수료 템플릿 설계(Airbnb 15.5%, Booking.com 15~18% 등)</t>
        </is>
      </c>
      <c r="C235" s="182" t="inlineStr">
        <is>
          <t>Gemini(검토보조)</t>
        </is>
      </c>
      <c r="D235" s="182" t="inlineStr">
        <is>
          <t>backend/app/services/settlement.py</t>
        </is>
      </c>
      <c r="E235" s="182" t="inlineStr">
        <is>
          <t>▶ 모든 금액이 추정치임을 UI에서 명확히 구분 표시한다
⚠ 실제 결제 확정 금액으로 착각되지 않게 financial_status를 반드시 노출</t>
        </is>
      </c>
      <c r="F235" s="182" t="inlineStr">
        <is>
          <t>예상/확정/수동수정 뱃지가 실제로 다르게 표시되는지 확인</t>
        </is>
      </c>
      <c r="G235" s="181" t="inlineStr">
        <is>
          <t>☐</t>
        </is>
      </c>
    </row>
    <row r="236" ht="109.5" customHeight="1" s="89">
      <c r="A236" s="183" t="inlineStr">
        <is>
          <t>🎬 오늘의 시나리오</t>
        </is>
      </c>
      <c r="B236" s="184" t="n"/>
      <c r="C236" s="183" t="inlineStr">
        <is>
          <t>[상황] 4단계(청소·체크인) 마무리 시점, 예약부터 청소까지 전체 흐름 확인 필요
[동작] ① 체크아웃→청소생성→상태전이 전체 흐름을 1회 시뮬레이션으로 재현 ② 끊기는 지점 없는지 확인
[원칙 없었다면] 검증 없이 넘어가면 실제 게스트 체크아웃 후 청소가 자동 생성 안 되는 걸 뒤늦게 발견</t>
        </is>
      </c>
      <c r="D236" s="185" t="n"/>
      <c r="E236" s="185" t="n"/>
      <c r="F236" s="185" t="n"/>
      <c r="G236" s="184" t="n"/>
    </row>
    <row r="237" ht="19.5" customHeight="1" s="89">
      <c r="A237" s="187" t="inlineStr">
        <is>
          <t>🌅 아침 크로스체크</t>
        </is>
      </c>
      <c r="B237" s="184" t="n"/>
      <c r="C237" s="187" t="inlineStr">
        <is>
          <t>☐ 전날 순서대로 실행됨  ☐ 위 작업 전부 완료  ☐ git commit 완료  ☐ 전날 백업 실행(backup_push.ps1/.bat 더블클릭 → git push+Desktop 미러백업)  ☐ 검증 체크 완료  ☐ 🔍 오늘은 검증일! DoD 결과 '9단계 검증 체크리스트' 시트에 기록</t>
        </is>
      </c>
      <c r="D237" s="185" t="n"/>
      <c r="E237" s="185" t="n"/>
      <c r="F237" s="184" t="n"/>
      <c r="G237" s="187" t="inlineStr">
        <is>
          <t>메모:</t>
        </is>
      </c>
    </row>
    <row r="239" ht="24" customHeight="1" s="89">
      <c r="A239" s="178" t="inlineStr">
        <is>
          <t>📅 2026-09-30(수)  ·  27일차  ·  작업 2건</t>
        </is>
      </c>
    </row>
    <row r="240" ht="18" customHeight="1" s="89">
      <c r="A240" s="179" t="inlineStr">
        <is>
          <t>🎯 오늘의 타이틀: 1단계 자동추정 로직(Room 기본단가×박수-수수료)</t>
        </is>
      </c>
    </row>
    <row r="241" ht="15" customHeight="1" s="89">
      <c r="A241" s="180" t="inlineStr">
        <is>
          <t>순서</t>
        </is>
      </c>
      <c r="B241" s="180" t="inlineStr">
        <is>
          <t>세부 작업</t>
        </is>
      </c>
      <c r="C241" s="180" t="inlineStr">
        <is>
          <t>활용도구</t>
        </is>
      </c>
      <c r="D241" s="180" t="inlineStr">
        <is>
          <t>파일 위치</t>
        </is>
      </c>
      <c r="E241" s="180" t="inlineStr">
        <is>
          <t>핵심포인트 / 주의할 점</t>
        </is>
      </c>
      <c r="F241" s="180" t="inlineStr">
        <is>
          <t>확인방법</t>
        </is>
      </c>
      <c r="G241" s="180" t="inlineStr">
        <is>
          <t>완료</t>
        </is>
      </c>
    </row>
    <row r="242" ht="48" customHeight="1" s="89">
      <c r="A242" s="181" t="n">
        <v>1</v>
      </c>
      <c r="B242" s="182" t="inlineStr">
        <is>
          <t>1단계 자동추정 로직(Room 기본단가×박수-수수료)</t>
        </is>
      </c>
      <c r="C242" s="182" t="inlineStr">
        <is>
          <t>Claude Code(직접실행)</t>
        </is>
      </c>
      <c r="D242" s="182" t="inlineStr">
        <is>
          <t>backend/app/services/settlement.py</t>
        </is>
      </c>
      <c r="E242" s="182" t="inlineStr">
        <is>
          <t>▶ 모든 금액이 추정치임을 UI에서 명확히 구분 표시한다
⚠ 실제 결제 확정 금액으로 착각되지 않게 financial_status를 반드시 노출</t>
        </is>
      </c>
      <c r="F242" s="182" t="inlineStr">
        <is>
          <t>예상/확정/수동수정 뱃지가 실제로 다르게 표시되는지 확인</t>
        </is>
      </c>
      <c r="G242" s="181" t="inlineStr">
        <is>
          <t>☐</t>
        </is>
      </c>
    </row>
    <row r="243" ht="48" customHeight="1" s="89">
      <c r="A243" s="181" t="n">
        <v>2</v>
      </c>
      <c r="B243" s="182" t="inlineStr">
        <is>
          <t>취소/환불 반영 로직(refund_status 연동, 매출 자동제외)</t>
        </is>
      </c>
      <c r="C243" s="182" t="inlineStr">
        <is>
          <t>Claude Code(직접실행)</t>
        </is>
      </c>
      <c r="D243" s="182" t="inlineStr">
        <is>
          <t>backend/app/services/settlement.py</t>
        </is>
      </c>
      <c r="E243" s="182" t="inlineStr">
        <is>
          <t>▶ 모든 금액이 추정치임을 UI에서 명확히 구분 표시한다
⚠ 실제 결제 확정 금액으로 착각되지 않게 financial_status를 반드시 노출</t>
        </is>
      </c>
      <c r="F243" s="182" t="inlineStr">
        <is>
          <t>예상/확정/수동수정 뱃지가 실제로 다르게 표시되는지 확인</t>
        </is>
      </c>
      <c r="G243" s="181" t="inlineStr">
        <is>
          <t>☐</t>
        </is>
      </c>
    </row>
    <row r="244" ht="109.5" customHeight="1" s="89">
      <c r="A244" s="183" t="inlineStr">
        <is>
          <t>🎬 오늘의 시나리오</t>
        </is>
      </c>
      <c r="B244" s="184" t="n"/>
      <c r="C244" s="183" t="inlineStr">
        <is>
          <t>[상황] 현재 연동하는 iCal 데이터에는 결제·정산 금액이 포함되지 않아, 정산 금액을 시스템이 스스로 계산해내야 함
[동작] ① 전날 정한 채널별 수수료를 적용해 기본단가×박수-수수료로 1차 금액을 자동 추정 ② 취소·환불된 예약은 refund_status를 보고 매출에서 자동 제외
[원칙 없었다면] 매달 예약을 하나씩 엑셀에 옮겨 적어야 하고, 환불된 건을 빼먹으면 매출이 실제보다 부풀려짐</t>
        </is>
      </c>
      <c r="D244" s="185" t="n"/>
      <c r="E244" s="185" t="n"/>
      <c r="F244" s="185" t="n"/>
      <c r="G244" s="184" t="n"/>
    </row>
    <row r="245" ht="19.5" customHeight="1" s="89">
      <c r="A245" s="186" t="inlineStr">
        <is>
          <t>🌅 아침 크로스체크</t>
        </is>
      </c>
      <c r="B245" s="184" t="n"/>
      <c r="C245" s="186" t="inlineStr">
        <is>
          <t>☐ 전날 순서대로 실행됨  ☐ 위 작업 전부 완료  ☐ git commit 완료  ☐ 전날 백업 실행(backup_push.ps1/.bat 더블클릭 → git push+Desktop 미러백업)</t>
        </is>
      </c>
      <c r="D245" s="185" t="n"/>
      <c r="E245" s="185" t="n"/>
      <c r="F245" s="184" t="n"/>
      <c r="G245" s="186" t="inlineStr">
        <is>
          <t>메모:</t>
        </is>
      </c>
    </row>
    <row r="247" ht="24" customHeight="1" s="89">
      <c r="A247" s="178" t="inlineStr">
        <is>
          <t>📅 2026-10-01(목)  ·  28일차  ·  작업 4건</t>
        </is>
      </c>
    </row>
    <row r="248" ht="18" customHeight="1" s="89">
      <c r="A248" s="179" t="inlineStr">
        <is>
          <t>🎯 오늘의 타이틀: Vercel+Render+Supabase 스테이징=프로덕션 서비스 생성(뼈대 프로젝트로 CORS/env 연결 테스트, 10/8에 그대로 정식승격)</t>
        </is>
      </c>
    </row>
    <row r="249" ht="15" customHeight="1" s="89">
      <c r="A249" s="180" t="inlineStr">
        <is>
          <t>순서</t>
        </is>
      </c>
      <c r="B249" s="180" t="inlineStr">
        <is>
          <t>세부 작업</t>
        </is>
      </c>
      <c r="C249" s="180" t="inlineStr">
        <is>
          <t>활용도구</t>
        </is>
      </c>
      <c r="D249" s="180" t="inlineStr">
        <is>
          <t>파일 위치</t>
        </is>
      </c>
      <c r="E249" s="180" t="inlineStr">
        <is>
          <t>핵심포인트 / 주의할 점</t>
        </is>
      </c>
      <c r="F249" s="180" t="inlineStr">
        <is>
          <t>확인방법</t>
        </is>
      </c>
      <c r="G249" s="180" t="inlineStr">
        <is>
          <t>완료</t>
        </is>
      </c>
    </row>
    <row r="250" ht="48" customHeight="1" s="89">
      <c r="A250" s="181" t="n">
        <v>1</v>
      </c>
      <c r="B250" s="182" t="inlineStr">
        <is>
          <t>Vercel+Render+Supabase 스테이징=프로덕션 서비스 생성(뼈대 프로젝트로 CORS/env 연결 테스트, 10/8에 그대로 정식승격)</t>
        </is>
      </c>
      <c r="C250" s="182" t="inlineStr">
        <is>
          <t>Claude Code(직접실행)</t>
        </is>
      </c>
      <c r="D250" s="182" t="inlineStr">
        <is>
          <t>backend/ 또는 frontend/ (세부 위치는 해당일 착수시 확정)</t>
        </is>
      </c>
      <c r="E250" s="182" t="inlineStr">
        <is>
          <t>▶ Feature Freeze 이후에는 로직 변경 없이 텍스트·설정만 수정
⚠ 제출 직전 급하게 뭔가 더 고치려는 유혹을 참는다</t>
        </is>
      </c>
      <c r="F250" s="182" t="inlineStr">
        <is>
          <t>최종 산출물(배포본/영상/문서)을 처음부터 끝까지 직접 재생·재확인</t>
        </is>
      </c>
      <c r="G250" s="181" t="inlineStr">
        <is>
          <t>☐</t>
        </is>
      </c>
    </row>
    <row r="251" ht="48" customHeight="1" s="89">
      <c r="A251" s="181" t="n">
        <v>2</v>
      </c>
      <c r="B251" s="182" t="inlineStr">
        <is>
          <t>.env.production 환경변수 설정(Vercel/Render/Supabase 키 분리)</t>
        </is>
      </c>
      <c r="C251" s="182" t="inlineStr">
        <is>
          <t>Claude Code(직접실행)</t>
        </is>
      </c>
      <c r="D251" s="182" t="inlineStr">
        <is>
          <t>backend/.env.production, frontend/.env.production</t>
        </is>
      </c>
      <c r="E251" s="182" t="inlineStr">
        <is>
          <t>▶ JWT_SECRET_KEY를 실제 값으로 교체(기본값 change-me-in-production 방치 시 토큰 위조 가능). CORS_ORIGINS에 Vercel 배포 도메인 추가(현재 localhost:5173만 허용). SUPABASE_DATABASE_URL 설정.
⚠ .env.production은 커밋하지 않는다(.gitignore 확인). 실제 값은 Vercel·Render 대시보드 환경변수로 주입한다.</t>
        </is>
      </c>
      <c r="F251" s="182" t="inlineStr">
        <is>
          <t>배포본에서 로그인 성공 여부와 프론트→백엔드 API 호출이 CORS 오류 없이 되는지 확인</t>
        </is>
      </c>
      <c r="G251" s="181" t="inlineStr">
        <is>
          <t>☐</t>
        </is>
      </c>
    </row>
    <row r="252" ht="48" customHeight="1" s="89">
      <c r="A252" s="181" t="n">
        <v>3</v>
      </c>
      <c r="B252" s="182" t="inlineStr">
        <is>
          <t>개인정보 최소수집 원칙 점검(게스트데이터-RAG데이터 분리 확인)</t>
        </is>
      </c>
      <c r="C252" s="182" t="inlineStr">
        <is>
          <t>Gemini(검토보조)</t>
        </is>
      </c>
      <c r="D252" s="182" t="inlineStr">
        <is>
          <t>backend/app/services/rag.py</t>
        </is>
      </c>
      <c r="E252" s="182" t="inlineStr">
        <is>
          <t>▶ RAG검색(로컬벡터, 비용0) → Claude 1회 통합호출로 분류+위험도+다국어+근거 동시반환
⚠ 멀티스텝으로 쪼개면 같은 컨텍스트를 반복 전송해 비용 급증. property_id 스코프 격리 누락시 교차오답(치명적 버그) 발생. 임베딩 모델 확정 시 EMBEDDING_DIM(현재 384, all-MiniLM-L6-v2 가정값)이 실제 선택 모델과 일치하는지 재확인 — 다르면 컬럼 마이그레이션 1회 필요</t>
        </is>
      </c>
      <c r="F252" s="182" t="inlineStr">
        <is>
          <t>숙소A/B에 동일 질문을 던져서 서로 다른 정답이 나오는지, 로그상 문의 1건당 Claude 호출이 1~2회인지 확인</t>
        </is>
      </c>
      <c r="G252" s="181" t="inlineStr">
        <is>
          <t>☐</t>
        </is>
      </c>
    </row>
    <row r="253" ht="48" customHeight="1" s="89">
      <c r="A253" s="181" t="n">
        <v>4</v>
      </c>
      <c r="B253" s="182" t="inlineStr">
        <is>
          <t>숙박업 유형별 체크리스트 정적 JSON 템플릿, 법정명칭 정확표기</t>
        </is>
      </c>
      <c r="C253" s="182" t="inlineStr">
        <is>
          <t>Gemini(검토보조)</t>
        </is>
      </c>
      <c r="D253" s="182" t="inlineStr">
        <is>
          <t>backend/app/data/checklist_templates.json</t>
        </is>
      </c>
      <c r="E253" s="182" t="inlineStr">
        <is>
          <t>▶ 법률판단이 아니라 참고용 체크리스트임을 UI에 명시
⚠ 숙박업 유형별 정교한 법률 로직을 만들지 않는다(범위 초과)</t>
        </is>
      </c>
      <c r="F253" s="182" t="inlineStr">
        <is>
          <t>'참고용, 관할 지자체 확인 필요' 문구가 화면에 표시되는지 확인</t>
        </is>
      </c>
      <c r="G253" s="181" t="inlineStr">
        <is>
          <t>☐</t>
        </is>
      </c>
    </row>
    <row r="254" ht="109.5" customHeight="1" s="89">
      <c r="A254" s="183" t="inlineStr">
        <is>
          <t>🎬 오늘의 시나리오</t>
        </is>
      </c>
      <c r="B254" s="184" t="n"/>
      <c r="C254" s="183" t="inlineStr">
        <is>
          <t>[상황] 배포 환경을 미리 만들어두되 Render 무료 750시간 한도를 낭비하면 안 됨
[동작] ① Vercel+Render+Supabase 뼈대 프로젝트 생성 ② CORS/env 연결만 먼저 테스트 ③ 10/8에 그대로 정식승격
[원칙 없었다면] 너무 일찍 만들면 무료 시간을 낭비하고, 너무 늦게 만들면 배포 직전 문제 대응할 시간이 없음</t>
        </is>
      </c>
      <c r="D254" s="185" t="n"/>
      <c r="E254" s="185" t="n"/>
      <c r="F254" s="185" t="n"/>
      <c r="G254" s="184" t="n"/>
    </row>
    <row r="255" ht="19.5" customHeight="1" s="89">
      <c r="A255" s="186" t="inlineStr">
        <is>
          <t>🌅 아침 크로스체크</t>
        </is>
      </c>
      <c r="B255" s="184" t="n"/>
      <c r="C255" s="186" t="inlineStr">
        <is>
          <t>☐ 전날 순서대로 실행됨  ☐ 위 작업 전부 완료  ☐ git commit 완료  ☐ 전날 백업 실행(backup_push.ps1/.bat 더블클릭 → git push+Desktop 미러백업)</t>
        </is>
      </c>
      <c r="D255" s="185" t="n"/>
      <c r="E255" s="185" t="n"/>
      <c r="F255" s="184" t="n"/>
      <c r="G255" s="186" t="inlineStr">
        <is>
          <t>메모:</t>
        </is>
      </c>
    </row>
    <row r="257" ht="24" customHeight="1" s="89">
      <c r="A257" s="178" t="inlineStr">
        <is>
          <t>📅 2026-10-02(금)  ·  29일차  ·  작업 7건</t>
        </is>
      </c>
    </row>
    <row r="258" ht="18" customHeight="1" s="89">
      <c r="A258" s="179" t="inlineStr">
        <is>
          <t>🎯 오늘의 타이틀: 데모 시드 데이터 스크립트 작성(호스트1+숙소3+예약15~20건+문의+청소+정산+긴급알림 시나리오, 발표 시점 기준 상대시간(체크인 D-1.5시간 등) 자동계산 로직 포함)</t>
        </is>
      </c>
    </row>
    <row r="259" ht="15" customHeight="1" s="89">
      <c r="A259" s="180" t="inlineStr">
        <is>
          <t>순서</t>
        </is>
      </c>
      <c r="B259" s="180" t="inlineStr">
        <is>
          <t>세부 작업</t>
        </is>
      </c>
      <c r="C259" s="180" t="inlineStr">
        <is>
          <t>활용도구</t>
        </is>
      </c>
      <c r="D259" s="180" t="inlineStr">
        <is>
          <t>파일 위치</t>
        </is>
      </c>
      <c r="E259" s="180" t="inlineStr">
        <is>
          <t>핵심포인트 / 주의할 점</t>
        </is>
      </c>
      <c r="F259" s="180" t="inlineStr">
        <is>
          <t>확인방법</t>
        </is>
      </c>
      <c r="G259" s="180" t="inlineStr">
        <is>
          <t>완료</t>
        </is>
      </c>
    </row>
    <row r="260" ht="48" customHeight="1" s="89">
      <c r="A260" s="181" t="n">
        <v>1</v>
      </c>
      <c r="B260" s="182" t="inlineStr">
        <is>
          <t>데모 시드 데이터 스크립트 작성(호스트1+숙소3+예약15~20건+문의+청소+정산+긴급알림 시나리오, 발표 시점 기준 상대시간(체크인 D-1.5시간 등) 자동계산 로직 포함)</t>
        </is>
      </c>
      <c r="C260" s="182" t="inlineStr">
        <is>
          <t>Gemini(검토보조)</t>
        </is>
      </c>
      <c r="D260" s="182" t="inlineStr">
        <is>
          <t>backend/scripts/seed_demo.py</t>
        </is>
      </c>
      <c r="E260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260" s="182" t="inlineStr">
        <is>
          <t>전체 예약 중 예외건(할인적용 등)만 수동수정하고 나머지는 1클릭으로 끝나는지 확인</t>
        </is>
      </c>
      <c r="G260" s="181" t="inlineStr">
        <is>
          <t>☐</t>
        </is>
      </c>
    </row>
    <row r="261" ht="48" customHeight="1" s="89">
      <c r="A261" s="181" t="n">
        <v>2</v>
      </c>
      <c r="B261" s="182" t="inlineStr">
        <is>
          <t>시드 스크립트 실행 및 데이터 정상 반영 확인</t>
        </is>
      </c>
      <c r="C261" s="182" t="inlineStr">
        <is>
          <t>Claude Code(직접실행)</t>
        </is>
      </c>
      <c r="D261" s="182" t="inlineStr">
        <is>
          <t>backend/ 또는 frontend/ (세부 위치는 해당일 착수시 확정)</t>
        </is>
      </c>
      <c r="E261" s="182" t="inlineStr">
        <is>
          <t>▶ 모든 금액이 추정치임을 UI에서 명확히 구분 표시한다
⚠ 실제 결제 확정 금액으로 착각되지 않게 financial_status를 반드시 노출</t>
        </is>
      </c>
      <c r="F261" s="182" t="inlineStr">
        <is>
          <t>예상/확정/수동수정 뱃지가 실제로 다르게 표시되는지 확인</t>
        </is>
      </c>
      <c r="G261" s="181" t="inlineStr">
        <is>
          <t>☐</t>
        </is>
      </c>
    </row>
    <row r="262" ht="48" customHeight="1" s="89">
      <c r="A262" s="181" t="n">
        <v>3</v>
      </c>
      <c r="B262" s="182" t="inlineStr">
        <is>
          <t>2단계 일괄확인(Bulk Confirm) UI</t>
        </is>
      </c>
      <c r="C262" s="182" t="inlineStr">
        <is>
          <t>Claude Code(직접실행)</t>
        </is>
      </c>
      <c r="D262" s="182" t="inlineStr">
        <is>
          <t>frontend/src/pages/Settlement.jsx</t>
        </is>
      </c>
      <c r="E262" s="182" t="inlineStr">
        <is>
          <t>▶ 모든 금액이 추정치임을 UI에서 명확히 구분 표시한다
⚠ 실제 결제 확정 금액으로 착각되지 않게 financial_status를 반드시 노출</t>
        </is>
      </c>
      <c r="F262" s="182" t="inlineStr">
        <is>
          <t>예상/확정/수동수정 뱃지가 실제로 다르게 표시되는지 확인</t>
        </is>
      </c>
      <c r="G262" s="181" t="inlineStr">
        <is>
          <t>☐</t>
        </is>
      </c>
    </row>
    <row r="263" ht="48" customHeight="1" s="89">
      <c r="A263" s="181" t="n">
        <v>4</v>
      </c>
      <c r="B263" s="182" t="inlineStr">
        <is>
          <t>3단계 예외보정(Inline Edit, 차이나는 건만)</t>
        </is>
      </c>
      <c r="C263" s="182" t="inlineStr">
        <is>
          <t>Claude Code(직접실행)</t>
        </is>
      </c>
      <c r="D263" s="182" t="inlineStr">
        <is>
          <t>frontend/src/pages/Settlement.jsx</t>
        </is>
      </c>
      <c r="E263" s="182" t="inlineStr">
        <is>
          <t>▶ 모든 금액이 추정치임을 UI에서 명확히 구분 표시한다
⚠ 실제 결제 확정 금액으로 착각되지 않게 financial_status를 반드시 노출</t>
        </is>
      </c>
      <c r="F263" s="182" t="inlineStr">
        <is>
          <t>예상/확정/수동수정 뱃지가 실제로 다르게 표시되는지 확인</t>
        </is>
      </c>
      <c r="G263" s="181" t="inlineStr">
        <is>
          <t>☐</t>
        </is>
      </c>
    </row>
    <row r="264" ht="48" customHeight="1" s="89">
      <c r="A264" s="181" t="n">
        <v>5</v>
      </c>
      <c r="B264" s="182" t="inlineStr">
        <is>
          <t>채널별/숙소별/월별 집계 + financial_status 뱃지 표시</t>
        </is>
      </c>
      <c r="C264" s="182" t="inlineStr">
        <is>
          <t>Claude Code(직접실행)</t>
        </is>
      </c>
      <c r="D264" s="182" t="inlineStr">
        <is>
          <t>backend/app/services/settlement.py</t>
        </is>
      </c>
      <c r="E264" s="182" t="inlineStr">
        <is>
          <t>▶ 모든 금액이 추정치임을 UI에서 명확히 구분 표시한다
⚠ 실제 결제 확정 금액으로 착각되지 않게 financial_status를 반드시 노출</t>
        </is>
      </c>
      <c r="F264" s="182" t="inlineStr">
        <is>
          <t>예상/확정/수동수정 뱃지가 실제로 다르게 표시되는지 확인</t>
        </is>
      </c>
      <c r="G264" s="181" t="inlineStr">
        <is>
          <t>☐</t>
        </is>
      </c>
    </row>
    <row r="265" ht="48" customHeight="1" s="89">
      <c r="A265" s="181" t="n">
        <v>6</v>
      </c>
      <c r="B265" s="182" t="inlineStr">
        <is>
          <t>업종별 킬러요건 1~2개 노출(여권보관/수질검사/소방안전관리자 등)</t>
        </is>
      </c>
      <c r="C265" s="182" t="inlineStr">
        <is>
          <t>Gemini(검토보조)</t>
        </is>
      </c>
      <c r="D265" s="182" t="inlineStr">
        <is>
          <t>backend/app/data/checklist_templates.json</t>
        </is>
      </c>
      <c r="E265" s="182" t="inlineStr">
        <is>
          <t>▶ 법률판단이 아니라 참고용 체크리스트임을 UI에 명시
⚠ 숙박업 유형별 정교한 법률 로직을 만들지 않는다(범위 초과)</t>
        </is>
      </c>
      <c r="F265" s="182" t="inlineStr">
        <is>
          <t>'참고용, 관할 지자체 확인 필요' 문구가 화면에 표시되는지 확인</t>
        </is>
      </c>
      <c r="G265" s="181" t="inlineStr">
        <is>
          <t>☐</t>
        </is>
      </c>
    </row>
    <row r="266" ht="48" customHeight="1" s="89">
      <c r="A266" s="181" t="n">
        <v>7</v>
      </c>
      <c r="B266" s="182" t="inlineStr">
        <is>
          <t>EVENT_BASED 변경신고 D+30 카운트다운 로직</t>
        </is>
      </c>
      <c r="C266" s="182" t="inlineStr">
        <is>
          <t>Claude Code(직접실행)</t>
        </is>
      </c>
      <c r="D266" s="182" t="inlineStr">
        <is>
          <t>backend/app/services/checklist.py</t>
        </is>
      </c>
      <c r="E266" s="182" t="inlineStr">
        <is>
          <t>▶ 법률판단이 아니라 참고용 체크리스트임을 UI에 명시
⚠ 숙박업 유형별 정교한 법률 로직을 만들지 않는다(범위 초과)</t>
        </is>
      </c>
      <c r="F266" s="182" t="inlineStr">
        <is>
          <t>'참고용, 관할 지자체 확인 필요' 문구가 화면에 표시되는지 확인</t>
        </is>
      </c>
      <c r="G266" s="181" t="inlineStr">
        <is>
          <t>☐</t>
        </is>
      </c>
    </row>
    <row r="267" ht="109.5" customHeight="1" s="89">
      <c r="A267" s="183" t="inlineStr">
        <is>
          <t>🎬 오늘의 시나리오</t>
        </is>
      </c>
      <c r="B267" s="184" t="n"/>
      <c r="C267" s="183" t="inlineStr">
        <is>
          <t>[상황] 자동추정만으로는 정산이 끝나지 않는다 — 할인처럼 시스템이 모르는 예외가 늘 섞여 있고, 인허가 기한도 호스트가 놓치기 쉬움
[동작] ① 추정된 금액을 한 번에 확인 처리하는 일괄확인 UI ② 차이나는 건만 골라 고치는 예외보정 ③ 채널·숙소·월별로 집계하고 금액이 추정치인지 확정인지 뱃지로 구분 ④ 변경신고 D+30 카운트다운을 붙여 액션센터가 서류 기한을 잡아내게 함 ⑤ 발표용 시드 데이터를 작성하고 ⑥ 화면과 집계에 실제 반영되는지 확인
[원칙 없었다면] 전부 수기로 고치면 엑셀 정산과 다를 게 없고, 기한이 지난 신고는 아무도 알려주지 않아 그대로 넘어감</t>
        </is>
      </c>
      <c r="D267" s="185" t="n"/>
      <c r="E267" s="185" t="n"/>
      <c r="F267" s="185" t="n"/>
      <c r="G267" s="184" t="n"/>
    </row>
    <row r="268" ht="19.5" customHeight="1" s="89">
      <c r="A268" s="186" t="inlineStr">
        <is>
          <t>🌅 아침 크로스체크</t>
        </is>
      </c>
      <c r="B268" s="184" t="n"/>
      <c r="C268" s="186" t="inlineStr">
        <is>
          <t>☐ 전날 순서대로 실행됨  ☐ 위 작업 전부 완료  ☐ git commit 완료  ☐ 전날 백업 실행(backup_push.ps1/.bat 더블클릭 → git push+Desktop 미러백업)</t>
        </is>
      </c>
      <c r="D268" s="185" t="n"/>
      <c r="E268" s="185" t="n"/>
      <c r="F268" s="184" t="n"/>
      <c r="G268" s="186" t="inlineStr">
        <is>
          <t>메모:</t>
        </is>
      </c>
    </row>
    <row r="270" ht="24" customHeight="1" s="89">
      <c r="A270" s="178" t="inlineStr">
        <is>
          <t>📅 2026-10-03(토)  ·  30일차  ·  작업 4건</t>
        </is>
      </c>
    </row>
    <row r="271" ht="18" customHeight="1" s="89">
      <c r="A271" s="179" t="inlineStr">
        <is>
          <t>🎯 오늘의 타이틀: Action Center 규칙기반 트리거 구현(최종스펙 규칙표 그대로)</t>
        </is>
      </c>
    </row>
    <row r="272" ht="15" customHeight="1" s="89">
      <c r="A272" s="180" t="inlineStr">
        <is>
          <t>순서</t>
        </is>
      </c>
      <c r="B272" s="180" t="inlineStr">
        <is>
          <t>세부 작업</t>
        </is>
      </c>
      <c r="C272" s="180" t="inlineStr">
        <is>
          <t>활용도구</t>
        </is>
      </c>
      <c r="D272" s="180" t="inlineStr">
        <is>
          <t>파일 위치</t>
        </is>
      </c>
      <c r="E272" s="180" t="inlineStr">
        <is>
          <t>핵심포인트 / 주의할 점</t>
        </is>
      </c>
      <c r="F272" s="180" t="inlineStr">
        <is>
          <t>확인방법</t>
        </is>
      </c>
      <c r="G272" s="180" t="inlineStr">
        <is>
          <t>완료</t>
        </is>
      </c>
    </row>
    <row r="273" ht="48" customHeight="1" s="89">
      <c r="A273" s="181" t="n">
        <v>1</v>
      </c>
      <c r="B273" s="182" t="inlineStr">
        <is>
          <t>Mock UI '시뮬레이션' 뱃지 통일 적용(가격반영/OTA메시징)</t>
        </is>
      </c>
      <c r="C273" s="182" t="inlineStr">
        <is>
          <t>Claude Code(직접실행)</t>
        </is>
      </c>
      <c r="D273" s="182" t="inlineStr">
        <is>
          <t>frontend/src/components/MockBadge.jsx</t>
        </is>
      </c>
      <c r="E273" s="182" t="inlineStr">
        <is>
          <t>▶ AI가 아니라 규칙기반 추천임을 명확히 한다(과대포장 금지)
⚠ 가격 실제 반영은 Mock — UI에서 실제 반영된 것처럼 보이지 않게</t>
        </is>
      </c>
      <c r="F273" s="182" t="inlineStr">
        <is>
          <t>추천가와 근거가 함께 표시되는지 확인</t>
        </is>
      </c>
      <c r="G273" s="181" t="inlineStr">
        <is>
          <t>☐</t>
        </is>
      </c>
    </row>
    <row r="274" ht="48" customHeight="1" s="89">
      <c r="A274" s="181" t="n">
        <v>2</v>
      </c>
      <c r="B274" s="182" t="inlineStr">
        <is>
          <t>Action Center 규칙기반 트리거 구현(최종스펙 규칙표 그대로)</t>
        </is>
      </c>
      <c r="C274" s="182" t="inlineStr">
        <is>
          <t>Gemini(검토보조)</t>
        </is>
      </c>
      <c r="D274" s="182" t="inlineStr">
        <is>
          <t>backend/app/services/action_center.py</t>
        </is>
      </c>
      <c r="E274" s="182" t="inlineStr">
        <is>
          <t>▶ 100% 규칙(시간+상태)기반 — AI가 위험을 판단하는 기능이 절대 아님
⚠ check_in은 DATE라 시간정보가 없음 — checkin_time과 합산해야 'N시간 전' 계산이 실제로 가능(v1.1에서 필드 추가됨)</t>
        </is>
      </c>
      <c r="F274" s="182" t="inlineStr">
        <is>
          <t>규칙표(🔴🟡🟢)대로 정확히 분류되는지 실제 예약데이터로 재현해서 확인</t>
        </is>
      </c>
      <c r="G274" s="181" t="inlineStr">
        <is>
          <t>☐</t>
        </is>
      </c>
    </row>
    <row r="275" ht="48" customHeight="1" s="89">
      <c r="A275" s="181" t="n">
        <v>3</v>
      </c>
      <c r="B275" s="182" t="inlineStr">
        <is>
          <t>🔴🟡🟢 통합 위젯 대시보드 구현</t>
        </is>
      </c>
      <c r="C275" s="182" t="inlineStr">
        <is>
          <t>Claude Code(직접실행)</t>
        </is>
      </c>
      <c r="D275" s="182" t="inlineStr">
        <is>
          <t>frontend/src/pages/Dashboard.tsx</t>
        </is>
      </c>
      <c r="E275" s="182" t="inlineStr">
        <is>
          <t>▶ 100% 규칙기반, AI 판단이 절대 개입하지 않는다
⚠ 같은 이벤트가 반복돼도 알림이 중복 생성되지 않게 한다</t>
        </is>
      </c>
      <c r="F275" s="182" t="inlineStr">
        <is>
          <t>규칙표대로 🔴🟡🟢이 정확히 분류되는지 확인</t>
        </is>
      </c>
      <c r="G275" s="181" t="inlineStr">
        <is>
          <t>☐</t>
        </is>
      </c>
    </row>
    <row r="276" ht="48" customHeight="1" s="89">
      <c r="A276" s="181" t="n">
        <v>4</v>
      </c>
      <c r="B276" s="182" t="inlineStr">
        <is>
          <t>각 이벤트 소스 연결(예약·청소·AI승인·서류만료·정산)</t>
        </is>
      </c>
      <c r="C276" s="182" t="inlineStr">
        <is>
          <t>Claude Code(직접실행)</t>
        </is>
      </c>
      <c r="D276" s="182" t="inlineStr">
        <is>
          <t>backend/app/services/action_center.py</t>
        </is>
      </c>
      <c r="E276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276" s="182" t="inlineStr">
        <is>
          <t>전체 예약 중 예외건(할인적용 등)만 수동수정하고 나머지는 1클릭으로 끝나는지 확인</t>
        </is>
      </c>
      <c r="G276" s="181" t="inlineStr">
        <is>
          <t>☐</t>
        </is>
      </c>
    </row>
    <row r="277" ht="109.5" customHeight="1" s="89">
      <c r="A277" s="183" t="inlineStr">
        <is>
          <t>🎬 오늘의 시나리오</t>
        </is>
      </c>
      <c r="B277" s="184" t="n"/>
      <c r="C277" s="183" t="inlineStr">
        <is>
          <t>[상황] 청소지연·중복예약·정산검토 등 여러 이벤트가 흩어져 있으면 호스트가 놓치기 쉬움
[동작] ① Action Center 규칙기반 트리거 구현 ② 이벤트 발생시 자동으로 🔴🟡🟢 큐에 분류
[원칙 없었다면] 통합 큐가 없으면 각 화면을 매번 따로 확인해야 하고 급한 건을 놓치는 사고</t>
        </is>
      </c>
      <c r="D277" s="185" t="n"/>
      <c r="E277" s="185" t="n"/>
      <c r="F277" s="185" t="n"/>
      <c r="G277" s="184" t="n"/>
    </row>
    <row r="278" ht="19.5" customHeight="1" s="89">
      <c r="A278" s="186" t="inlineStr">
        <is>
          <t>🌅 아침 크로스체크</t>
        </is>
      </c>
      <c r="B278" s="184" t="n"/>
      <c r="C278" s="186" t="inlineStr">
        <is>
          <t>☐ 전날 순서대로 실행됨  ☐ 위 작업 전부 완료  ☐ git commit 완료  ☐ 전날 백업 실행(backup_push.ps1/.bat 더블클릭 → git push+Desktop 미러백업)</t>
        </is>
      </c>
      <c r="D278" s="185" t="n"/>
      <c r="E278" s="185" t="n"/>
      <c r="F278" s="184" t="n"/>
      <c r="G278" s="186" t="inlineStr">
        <is>
          <t>메모:</t>
        </is>
      </c>
    </row>
    <row r="280" ht="24" customHeight="1" s="89">
      <c r="A280" s="178" t="inlineStr">
        <is>
          <t>📅 2026-10-05(월)  ·  31일차  ·  작업 7건</t>
        </is>
      </c>
    </row>
    <row r="281" ht="18" customHeight="1" s="89">
      <c r="A281" s="179" t="inlineStr">
        <is>
          <t>🎯 오늘의 타이틀: ✅ 5단계 검증: 정산 3단계 파이프라인 + 알림센터 트리거 실데이터로 재현</t>
        </is>
      </c>
    </row>
    <row r="282" ht="15" customHeight="1" s="89">
      <c r="A282" s="180" t="inlineStr">
        <is>
          <t>순서</t>
        </is>
      </c>
      <c r="B282" s="180" t="inlineStr">
        <is>
          <t>세부 작업</t>
        </is>
      </c>
      <c r="C282" s="180" t="inlineStr">
        <is>
          <t>활용도구</t>
        </is>
      </c>
      <c r="D282" s="180" t="inlineStr">
        <is>
          <t>파일 위치</t>
        </is>
      </c>
      <c r="E282" s="180" t="inlineStr">
        <is>
          <t>핵심포인트 / 주의할 점</t>
        </is>
      </c>
      <c r="F282" s="180" t="inlineStr">
        <is>
          <t>확인방법</t>
        </is>
      </c>
      <c r="G282" s="180" t="inlineStr">
        <is>
          <t>완료</t>
        </is>
      </c>
    </row>
    <row r="283" ht="48" customHeight="1" s="89">
      <c r="A283" s="181" t="n">
        <v>1</v>
      </c>
      <c r="B283" s="182" t="inlineStr">
        <is>
          <t>중간 회귀체크포인트2: 4~5단계 진행분 재확인(청소→정산 흐름 재실행)</t>
        </is>
      </c>
      <c r="C283" s="182" t="inlineStr">
        <is>
          <t>Claude Code(직접실행)</t>
        </is>
      </c>
      <c r="D283" s="182" t="inlineStr">
        <is>
          <t>backend/tests/test_integration_2.py</t>
        </is>
      </c>
      <c r="E283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283" s="182" t="inlineStr">
        <is>
          <t>전체 예약 중 예외건(할인적용 등)만 수동수정하고 나머지는 1클릭으로 끝나는지 확인</t>
        </is>
      </c>
      <c r="G283" s="181" t="inlineStr">
        <is>
          <t>☐</t>
        </is>
      </c>
    </row>
    <row r="284" ht="48" customHeight="1" s="89">
      <c r="A284" s="181" t="n">
        <v>2</v>
      </c>
      <c r="B284" s="182" t="inlineStr">
        <is>
          <t>공휴일/지역축제 공공데이터 API 연동 추천가 로직</t>
        </is>
      </c>
      <c r="C284" s="182" t="inlineStr">
        <is>
          <t>Claude Code(직접실행)</t>
        </is>
      </c>
      <c r="D284" s="182" t="inlineStr">
        <is>
          <t>backend/app/services/pricing.py</t>
        </is>
      </c>
      <c r="E284" s="182" t="inlineStr">
        <is>
          <t>▶ AI가 아니라 규칙기반 추천임을 명확히 한다(과대포장 금지)
⚠ 가격 실제 반영은 Mock — UI에서 실제 반영된 것처럼 보이지 않게</t>
        </is>
      </c>
      <c r="F284" s="182" t="inlineStr">
        <is>
          <t>추천가와 근거가 함께 표시되는지 확인</t>
        </is>
      </c>
      <c r="G284" s="181" t="inlineStr">
        <is>
          <t>☐</t>
        </is>
      </c>
    </row>
    <row r="285" ht="48" customHeight="1" s="89">
      <c r="A285" s="181" t="n">
        <v>3</v>
      </c>
      <c r="B285" s="182" t="inlineStr">
        <is>
          <t>예약임박도·잔여객실 반영(기존 iCal데이터 활용)</t>
        </is>
      </c>
      <c r="C285" s="182" t="inlineStr">
        <is>
          <t>Gemini(검토보조)</t>
        </is>
      </c>
      <c r="D285" s="182" t="inlineStr">
        <is>
          <t>backend/app/services/ical_sync.py</t>
        </is>
      </c>
      <c r="E285" s="182" t="inlineStr">
        <is>
          <t>▶ AI가 아니라 규칙기반 추천임을 명확히 한다(과대포장 금지)
⚠ 가격 실제 반영은 Mock — UI에서 실제 반영된 것처럼 보이지 않게</t>
        </is>
      </c>
      <c r="F285" s="182" t="inlineStr">
        <is>
          <t>추천가와 근거가 함께 표시되는지 확인</t>
        </is>
      </c>
      <c r="G285" s="181" t="inlineStr">
        <is>
          <t>☐</t>
        </is>
      </c>
    </row>
    <row r="286" ht="48" customHeight="1" s="89">
      <c r="A286" s="181" t="n">
        <v>4</v>
      </c>
      <c r="B286" s="182" t="inlineStr">
        <is>
          <t>정산·가격 화면에 로딩/에러/빈상태 UI 적용</t>
        </is>
      </c>
      <c r="C286" s="182" t="inlineStr">
        <is>
          <t>Claude Code(직접실행)</t>
        </is>
      </c>
      <c r="D286" s="182" t="inlineStr">
        <is>
          <t>frontend/src/components/StateHandler.jsx</t>
        </is>
      </c>
      <c r="E286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286" s="182" t="inlineStr">
        <is>
          <t>전체 예약 중 예외건(할인적용 등)만 수동수정하고 나머지는 1클릭으로 끝나는지 확인</t>
        </is>
      </c>
      <c r="G286" s="181" t="inlineStr">
        <is>
          <t>☐</t>
        </is>
      </c>
    </row>
    <row r="287" ht="48" customHeight="1" s="89">
      <c r="A287" s="181" t="n">
        <v>5</v>
      </c>
      <c r="B287" s="182" t="inlineStr">
        <is>
          <t>공백일 미세조정+성수기 방치감지 배치로직(평일할인/주말·연휴인상, DB명세서 6절)</t>
        </is>
      </c>
      <c r="C287" s="182" t="inlineStr">
        <is>
          <t>Claude Code(직접실행)</t>
        </is>
      </c>
      <c r="D287" s="182" t="inlineStr">
        <is>
          <t>backend/app/services/pricing.py</t>
        </is>
      </c>
      <c r="E287" s="182" t="inlineStr">
        <is>
          <t>▶ 실제 운영 페인포인트(3박이상만 받아 화~금이 비는 문제)를 규칙화 — 평일할인/주말·연휴인상 양방향
⚠ 연휴·공휴일은 시스템이 임의로 계속 인상하면 안 됨 — 방치감지 후 반드시 호스트 승인 거쳐야 함(100% 자동 금지)</t>
        </is>
      </c>
      <c r="F287" s="182" t="inlineStr">
        <is>
          <t>평일 미예약건은 할인추천, 주말 미예약건은 인상추천이 반대로 나오는지 실데이터로 확인 + 연휴 3일 방치 시 알림만 뜨고 자동조정 안 되는지 확인</t>
        </is>
      </c>
      <c r="G287" s="181" t="inlineStr">
        <is>
          <t>☐</t>
        </is>
      </c>
    </row>
    <row r="288" ht="48" customHeight="1" s="89">
      <c r="A288" s="181" t="n">
        <v>6</v>
      </c>
      <c r="B288" s="182" t="inlineStr">
        <is>
          <t>추천가+근거 카드 UI, 승인클릭→Mock반영, 하한가 경고</t>
        </is>
      </c>
      <c r="C288" s="182" t="inlineStr">
        <is>
          <t>Claude Code(직접실행)</t>
        </is>
      </c>
      <c r="D288" s="182" t="inlineStr">
        <is>
          <t>backend/app/services/ai_agent.py</t>
        </is>
      </c>
      <c r="E288" s="182" t="inlineStr">
        <is>
          <t>▶ AI가 아니라 규칙기반 추천임을 명확히 한다(과대포장 금지)
⚠ 가격 실제 반영은 Mock — UI에서 실제 반영된 것처럼 보이지 않게</t>
        </is>
      </c>
      <c r="F288" s="182" t="inlineStr">
        <is>
          <t>추천가와 근거가 함께 표시되는지 확인</t>
        </is>
      </c>
      <c r="G288" s="181" t="inlineStr">
        <is>
          <t>☐</t>
        </is>
      </c>
    </row>
    <row r="289" ht="48" customHeight="1" s="89">
      <c r="A289" s="181" t="n">
        <v>7</v>
      </c>
      <c r="B289" s="182" t="inlineStr">
        <is>
          <t>✅ 5단계 검증: 정산 3단계 파이프라인 + 알림센터 트리거 실데이터로 재현</t>
        </is>
      </c>
      <c r="C289" s="182" t="inlineStr">
        <is>
          <t>Claude Code(직접실행)</t>
        </is>
      </c>
      <c r="D289" s="182" t="inlineStr">
        <is>
          <t>backend/ 또는 frontend/ (세부 위치는 해당일 착수시 확정)</t>
        </is>
      </c>
      <c r="E289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289" s="182" t="inlineStr">
        <is>
          <t>전체 예약 중 예외건(할인적용 등)만 수동수정하고 나머지는 1클릭으로 끝나는지 확인</t>
        </is>
      </c>
      <c r="G289" s="181" t="inlineStr">
        <is>
          <t>☐</t>
        </is>
      </c>
    </row>
    <row r="290" ht="109.5" customHeight="1" s="89">
      <c r="A290" s="183" t="inlineStr">
        <is>
          <t>🎬 오늘의 시나리오</t>
        </is>
      </c>
      <c r="B290" s="184" t="n"/>
      <c r="C290" s="183" t="inlineStr">
        <is>
          <t>[상황] 기능 구현의 마지막 날. 빈 날짜를 그대로 두면 매출이 새지만, 호스트가 매일 달력을 보며 가격을 조정할 수는 없음
[동작] ① 공휴일·지역축제와 예약임박도·잔여객실을 근거로 추천가를 계산 ② 평일할인·주말인상을 배치로 미세조정하고 연휴 방치를 감지 ③ 추천가를 근거와 함께 카드로 보여주고 승인은 호스트가 하되 하한가 아래는 경고 ④ 정산·가격 화면에 로딩·에러·빈상태를 붙여 마무리 ⑤ 5단계 검증으로 정산 3단계 파이프라인과 알림센터 트리거를 실데이터로 재현하고, 회귀체크로 청소→정산 흐름까지 다시 확인
[원칙 없었다면] AI가 호스트 동의 없이 가격을 내려버리거나, 반대로 아무도 손대지 않아 연휴가 빈 채로 지나감. 여기서 닫지 못하면 내일부터 시작할 발표 준비가 밀림</t>
        </is>
      </c>
      <c r="D290" s="185" t="n"/>
      <c r="E290" s="185" t="n"/>
      <c r="F290" s="185" t="n"/>
      <c r="G290" s="184" t="n"/>
    </row>
    <row r="291" ht="19.5" customHeight="1" s="89">
      <c r="A291" s="187" t="inlineStr">
        <is>
          <t>🌅 아침 크로스체크</t>
        </is>
      </c>
      <c r="B291" s="184" t="n"/>
      <c r="C291" s="187" t="inlineStr">
        <is>
          <t>☐ 전날 순서대로 실행됨  ☐ 위 작업 전부 완료  ☐ git commit 완료  ☐ 전날 백업 실행(backup_push.ps1/.bat 더블클릭 → git push+Desktop 미러백업)  ☐ 검증 체크 완료  ☐ 🔍 오늘은 검증일! DoD 결과 '9단계 검증 체크리스트' 시트에 기록</t>
        </is>
      </c>
      <c r="D291" s="185" t="n"/>
      <c r="E291" s="185" t="n"/>
      <c r="F291" s="184" t="n"/>
      <c r="G291" s="187" t="inlineStr">
        <is>
          <t>메모:</t>
        </is>
      </c>
    </row>
    <row r="293" ht="24" customHeight="1" s="89">
      <c r="A293" s="178" t="inlineStr">
        <is>
          <t>📅 2026-10-06(화)  ·  32일차  ·  작업 2건</t>
        </is>
      </c>
    </row>
    <row r="294" ht="18" customHeight="1" s="89">
      <c r="A294" s="179" t="inlineStr">
        <is>
          <t>🎯 오늘의 타이틀: 발표 슬라이드 초안 작성(구성·화면 캡처·AI Agent Loop 다이어그램)</t>
        </is>
      </c>
    </row>
    <row r="295" ht="15" customHeight="1" s="89">
      <c r="A295" s="180" t="inlineStr">
        <is>
          <t>순서</t>
        </is>
      </c>
      <c r="B295" s="180" t="inlineStr">
        <is>
          <t>세부 작업</t>
        </is>
      </c>
      <c r="C295" s="180" t="inlineStr">
        <is>
          <t>활용도구</t>
        </is>
      </c>
      <c r="D295" s="180" t="inlineStr">
        <is>
          <t>파일 위치</t>
        </is>
      </c>
      <c r="E295" s="180" t="inlineStr">
        <is>
          <t>핵심포인트 / 주의할 점</t>
        </is>
      </c>
      <c r="F295" s="180" t="inlineStr">
        <is>
          <t>확인방법</t>
        </is>
      </c>
      <c r="G295" s="180" t="inlineStr">
        <is>
          <t>완료</t>
        </is>
      </c>
    </row>
    <row r="296" ht="48" customHeight="1" s="89">
      <c r="A296" s="181" t="n">
        <v>1</v>
      </c>
      <c r="B296" s="182" t="inlineStr">
        <is>
          <t>발표 슬라이드 초안 작성(구성·화면 캡처·AI Agent Loop 다이어그램)</t>
        </is>
      </c>
      <c r="C296" s="182" t="inlineStr">
        <is>
          <t>Gemini(검토보조)</t>
        </is>
      </c>
      <c r="D296" s="182" t="inlineStr">
        <is>
          <t>발표자료(PPTX)</t>
        </is>
      </c>
      <c r="E296" s="182" t="inlineStr">
        <is>
          <t>▶ None
⚠ None</t>
        </is>
      </c>
      <c r="F296" s="182" t="n"/>
      <c r="G296" s="181" t="inlineStr">
        <is>
          <t>☐</t>
        </is>
      </c>
    </row>
    <row r="297" ht="48" customHeight="1" s="89">
      <c r="A297" s="181" t="n">
        <v>2</v>
      </c>
      <c r="B297" s="182" t="inlineStr">
        <is>
          <t>제출용 설명문서 최종본 정리(9/3 기획서 확장판: 배경/주제/기술스택/아키텍처/사용법)</t>
        </is>
      </c>
      <c r="C297" s="182" t="inlineStr">
        <is>
          <t>Gemini(검토보조)</t>
        </is>
      </c>
      <c r="D297" s="182" t="inlineStr">
        <is>
          <t>docs/project_plan_draft.md (신규생성)</t>
        </is>
      </c>
      <c r="E297" s="182" t="inlineStr">
        <is>
          <t>▶ Feature Freeze 이후에는 로직 변경 없이 텍스트·설정만 수정
⚠ 제출 직전 급하게 뭔가 더 고치려는 유혹을 참는다</t>
        </is>
      </c>
      <c r="F297" s="182" t="inlineStr">
        <is>
          <t>최종 산출물(배포본/영상/문서)을 처음부터 끝까지 직접 재생·재확인</t>
        </is>
      </c>
      <c r="G297" s="181" t="inlineStr">
        <is>
          <t>☐</t>
        </is>
      </c>
    </row>
    <row r="298" ht="109.5" customHeight="1" s="89">
      <c r="A298" s="183" t="inlineStr">
        <is>
          <t>🎬 오늘의 시나리오</t>
        </is>
      </c>
      <c r="B298" s="184" t="n"/>
      <c r="C298" s="183" t="inlineStr">
        <is>
          <t>[상황] 어제로 기능 구현이 끝났다. 오늘부터는 만드는 일이 아니라 만든 것을 설명하는 일로 성격이 바뀜
[동작] ① 발표 슬라이드 초안을 잡고 실제 화면을 캡처해 AI Agent Loop 다이어그램까지 넣음 ② 9/3 기획서를 확장해 배경·기술스택·아키텍처·사용법이 담긴 제출용 설명문서를 정리
[원칙 없었다면] 슬라이드와 설명문서는 기획안·구조·주요 기능이 겹치는데 따로 만들면 같은 내용을 두 번 쓰고 서로 다른 말을 하게 됨. 같은 날 함께 잡아야 한 번에 정리됨</t>
        </is>
      </c>
      <c r="D298" s="185" t="n"/>
      <c r="E298" s="185" t="n"/>
      <c r="F298" s="185" t="n"/>
      <c r="G298" s="184" t="n"/>
    </row>
    <row r="299" ht="19.5" customHeight="1" s="89">
      <c r="A299" s="186" t="inlineStr">
        <is>
          <t>🌅 아침 크로스체크</t>
        </is>
      </c>
      <c r="B299" s="184" t="n"/>
      <c r="C299" s="186" t="inlineStr">
        <is>
          <t>☐ 전날 순서대로 실행됨  ☐ 위 작업 전부 완료  ☐ git commit 완료  ☐ 전날 백업 실행(backup_push.ps1/.bat 더블클릭 → git push+Desktop 미러백업)</t>
        </is>
      </c>
      <c r="D299" s="185" t="n"/>
      <c r="E299" s="185" t="n"/>
      <c r="F299" s="184" t="n"/>
      <c r="G299" s="186" t="inlineStr">
        <is>
          <t>메모:</t>
        </is>
      </c>
    </row>
    <row r="301" ht="24" customHeight="1" s="89">
      <c r="A301" s="178" t="inlineStr">
        <is>
          <t>📅 2026-10-07(수)  ·  33일차  ·  작업 2건</t>
        </is>
      </c>
    </row>
    <row r="302" ht="18" customHeight="1" s="89">
      <c r="A302" s="179" t="inlineStr">
        <is>
          <t>🎯 오늘의 타이틀: Clipchamp 10분 더미 영상 내보내기 테스트</t>
        </is>
      </c>
    </row>
    <row r="303" ht="15" customHeight="1" s="89">
      <c r="A303" s="180" t="inlineStr">
        <is>
          <t>순서</t>
        </is>
      </c>
      <c r="B303" s="180" t="inlineStr">
        <is>
          <t>세부 작업</t>
        </is>
      </c>
      <c r="C303" s="180" t="inlineStr">
        <is>
          <t>활용도구</t>
        </is>
      </c>
      <c r="D303" s="180" t="inlineStr">
        <is>
          <t>파일 위치</t>
        </is>
      </c>
      <c r="E303" s="180" t="inlineStr">
        <is>
          <t>핵심포인트 / 주의할 점</t>
        </is>
      </c>
      <c r="F303" s="180" t="inlineStr">
        <is>
          <t>확인방법</t>
        </is>
      </c>
      <c r="G303" s="180" t="inlineStr">
        <is>
          <t>완료</t>
        </is>
      </c>
    </row>
    <row r="304" ht="48" customHeight="1" s="89">
      <c r="A304" s="181" t="n">
        <v>1</v>
      </c>
      <c r="B304" s="182" t="inlineStr">
        <is>
          <t>Clipchamp 10분 더미 영상 내보내기 테스트</t>
        </is>
      </c>
      <c r="C304" s="182" t="inlineStr">
        <is>
          <t>Gemini(검토보조)</t>
        </is>
      </c>
      <c r="D304" s="182" t="inlineStr">
        <is>
          <t>외부(Clipchamp)</t>
        </is>
      </c>
      <c r="E304" s="182" t="inlineStr">
        <is>
          <t>▶ Feature Freeze 이후에는 로직 변경 없이 텍스트·설정만 수정
⚠ 제출 직전 급하게 뭔가 더 고치려는 유혹을 참는다</t>
        </is>
      </c>
      <c r="F304" s="182" t="inlineStr">
        <is>
          <t>최종 산출물(배포본/영상/문서)을 처음부터 끝까지 직접 재생·재확인</t>
        </is>
      </c>
      <c r="G304" s="181" t="inlineStr">
        <is>
          <t>☐</t>
        </is>
      </c>
    </row>
    <row r="305" ht="48" customHeight="1" s="89">
      <c r="A305" s="181" t="n">
        <v>2</v>
      </c>
      <c r="B305" s="182" t="inlineStr">
        <is>
          <t>영상 대본/콘티 초안 작성(화면 흐름·나레이션 포인트 먼저 잡기, 최종 코드 완성 전에도 가능)</t>
        </is>
      </c>
      <c r="C305" s="182" t="inlineStr">
        <is>
          <t>Gemini(검토보조)</t>
        </is>
      </c>
      <c r="D305" s="182" t="inlineStr">
        <is>
          <t>docs/video_script.md</t>
        </is>
      </c>
      <c r="E305" s="182" t="inlineStr">
        <is>
          <t>▶ Feature Freeze 이후에는 로직 변경 없이 텍스트·설정만 수정
⚠ 제출 직전 급하게 뭔가 더 고치려는 유혹을 참는다</t>
        </is>
      </c>
      <c r="F305" s="182" t="inlineStr">
        <is>
          <t>최종 산출물(배포본/영상/문서)을 처음부터 끝까지 직접 재생·재확인</t>
        </is>
      </c>
      <c r="G305" s="181" t="inlineStr">
        <is>
          <t>☐</t>
        </is>
      </c>
    </row>
    <row r="306" ht="109.5" customHeight="1" s="89">
      <c r="A306" s="183" t="inlineStr">
        <is>
          <t>🎬 오늘의 시나리오</t>
        </is>
      </c>
      <c r="B306" s="184" t="n"/>
      <c r="C306" s="183" t="inlineStr">
        <is>
          <t>[상황] 편집 도구가 10분짜리를 감당하지 못하는 걸 10/10 밤에 알게 되면 손쓸 방법이 없음
[동작] ① 더미 영상으로 10분 내보내기를 미리 돌려보고, 실패하면 Shotcut으로 전환할지 오늘 결정 ② 화면 흐름과 나레이션 포인트를 대본·콘티로 먼저 잡아둠
[원칙 없었다면] 도구를 검증하지 않으면 녹화를 다 마친 뒤 내보내기에서 막히고, 대본 없이 녹화하면 말이 꼬여 같은 구간을 몇 번씩 다시 찍게 됨</t>
        </is>
      </c>
      <c r="D306" s="185" t="n"/>
      <c r="E306" s="185" t="n"/>
      <c r="F306" s="185" t="n"/>
      <c r="G306" s="184" t="n"/>
    </row>
    <row r="307" ht="19.5" customHeight="1" s="89">
      <c r="A307" s="186" t="inlineStr">
        <is>
          <t>🌅 아침 크로스체크</t>
        </is>
      </c>
      <c r="B307" s="184" t="n"/>
      <c r="C307" s="186" t="inlineStr">
        <is>
          <t>☐ 전날 순서대로 실행됨  ☐ 위 작업 전부 완료  ☐ git commit 완료  ☐ 전날 백업 실행(backup_push.ps1/.bat 더블클릭 → git push+Desktop 미러백업)</t>
        </is>
      </c>
      <c r="D307" s="185" t="n"/>
      <c r="E307" s="185" t="n"/>
      <c r="F307" s="184" t="n"/>
      <c r="G307" s="186" t="inlineStr">
        <is>
          <t>메모:</t>
        </is>
      </c>
    </row>
    <row r="309" ht="24" customHeight="1" s="89">
      <c r="A309" s="178" t="inlineStr">
        <is>
          <t>📅 2026-10-08(목)  ·  34일차  ·  작업 6건</t>
        </is>
      </c>
    </row>
    <row r="310" ht="18" customHeight="1" s="89">
      <c r="A310" s="179" t="inlineStr">
        <is>
          <t>🎯 오늘의 타이틀: 전체 기능 회귀테스트(예약→청소→AI→정산→알림 전체 플로우 1회 통관)</t>
        </is>
      </c>
    </row>
    <row r="311" ht="15" customHeight="1" s="89">
      <c r="A311" s="180" t="inlineStr">
        <is>
          <t>순서</t>
        </is>
      </c>
      <c r="B311" s="180" t="inlineStr">
        <is>
          <t>세부 작업</t>
        </is>
      </c>
      <c r="C311" s="180" t="inlineStr">
        <is>
          <t>활용도구</t>
        </is>
      </c>
      <c r="D311" s="180" t="inlineStr">
        <is>
          <t>파일 위치</t>
        </is>
      </c>
      <c r="E311" s="180" t="inlineStr">
        <is>
          <t>핵심포인트 / 주의할 점</t>
        </is>
      </c>
      <c r="F311" s="180" t="inlineStr">
        <is>
          <t>확인방법</t>
        </is>
      </c>
      <c r="G311" s="180" t="inlineStr">
        <is>
          <t>완료</t>
        </is>
      </c>
    </row>
    <row r="312" ht="48" customHeight="1" s="89">
      <c r="A312" s="181" t="n">
        <v>1</v>
      </c>
      <c r="B312" s="182" t="inlineStr">
        <is>
          <t>전체 기능 회귀테스트(예약→청소→AI→정산→알림 전체 플로우 1회 통관)</t>
        </is>
      </c>
      <c r="C312" s="182" t="inlineStr">
        <is>
          <t>Claude Code(직접실행)</t>
        </is>
      </c>
      <c r="D312" s="182" t="inlineStr">
        <is>
          <t>backend/tests/test_full_flow.py</t>
        </is>
      </c>
      <c r="E312" s="182" t="inlineStr">
        <is>
          <t>▶ 자동추정→일괄확인→예외보정 3단계로 수작업을 최소화(엑셀 수기정산과 다르게 만드는 것이 목표)
⚠ iCal에는 결제정보가 없어 모든 금액이 추정치 — financial_status(ESTIMATED/CONFIRMED/MANUALLY_ADJUSTED)로 신뢰도를 반드시 구분표시</t>
        </is>
      </c>
      <c r="F312" s="182" t="inlineStr">
        <is>
          <t>전체 예약 중 예외건(할인적용 등)만 수동수정하고 나머지는 1클릭으로 끝나는지 확인</t>
        </is>
      </c>
      <c r="G312" s="181" t="inlineStr">
        <is>
          <t>☐</t>
        </is>
      </c>
    </row>
    <row r="313" ht="48" customHeight="1" s="89">
      <c r="A313" s="181" t="n">
        <v>2</v>
      </c>
      <c r="B313" s="182" t="inlineStr">
        <is>
          <t>예외케이스 전수점검(중복예약/취소/환불/iCal실패/LLM실패/DB실패 에러UI 확인)</t>
        </is>
      </c>
      <c r="C313" s="182" t="inlineStr">
        <is>
          <t>Claude Code(직접실행)</t>
        </is>
      </c>
      <c r="D313" s="182" t="inlineStr">
        <is>
          <t>backend/app/services/ical_sync.py</t>
        </is>
      </c>
      <c r="E313" s="182" t="inlineStr">
        <is>
          <t>▶ 배포 전 마지막 방어선 — 여기서 놓치면 발표 중 사고로 직결
⚠ 체크리스트 일부만 하지 말고 전체 시나리오를 빠짐없이 재현</t>
        </is>
      </c>
      <c r="F313" s="182" t="inlineStr">
        <is>
          <t>각 항목을 실제로 테스트해보고 결과를 기록</t>
        </is>
      </c>
      <c r="G313" s="181" t="inlineStr">
        <is>
          <t>☐</t>
        </is>
      </c>
    </row>
    <row r="314" ht="48" customHeight="1" s="89">
      <c r="A314" s="181" t="n">
        <v>3</v>
      </c>
      <c r="B314" s="182" t="inlineStr">
        <is>
          <t>보안점검: 비밀번호 해시 확인, .env/GitHub secret 노출여부 검색</t>
        </is>
      </c>
      <c r="C314" s="182" t="inlineStr">
        <is>
          <t>Claude Code(직접실행)</t>
        </is>
      </c>
      <c r="D314" s="182" t="inlineStr">
        <is>
          <t>backend/app/core/security.py</t>
        </is>
      </c>
      <c r="E314" s="182" t="inlineStr">
        <is>
          <t>▶ 배포 전 마지막 방어선 — 여기서 놓치면 발표 중 사고로 직결
⚠ 체크리스트 일부만 하지 말고 전체 시나리오를 빠짐없이 재현</t>
        </is>
      </c>
      <c r="F314" s="182" t="inlineStr">
        <is>
          <t>각 항목을 실제로 테스트해보고 결과를 기록</t>
        </is>
      </c>
      <c r="G314" s="181" t="inlineStr">
        <is>
          <t>☐</t>
        </is>
      </c>
    </row>
    <row r="315" ht="48" customHeight="1" s="89">
      <c r="A315" s="181" t="n">
        <v>4</v>
      </c>
      <c r="B315" s="182" t="inlineStr">
        <is>
          <t>Real/Mock UI 라벨 전수 확인(스마트락/가격반영/OTA메시징 '시뮬레이션' 표시)</t>
        </is>
      </c>
      <c r="C315" s="182" t="inlineStr">
        <is>
          <t>Claude Code(직접실행)</t>
        </is>
      </c>
      <c r="D315" s="182" t="inlineStr">
        <is>
          <t>backend/app/services/doorlock_mock.py</t>
        </is>
      </c>
      <c r="E315" s="182" t="inlineStr">
        <is>
          <t>▶ 1개도 실연동 시도하지 않고 개발 착수부터 100% Mock으로 확정(시간 확보)
⚠ 화면에 '시뮬레이션'임을 명확히 표시해야 함 — 실제 연동처럼 보이면 심사 시 오해 소지</t>
        </is>
      </c>
      <c r="F315" s="182" t="inlineStr">
        <is>
          <t>화면에 Mock 뱃지가 육안으로 확인되는지</t>
        </is>
      </c>
      <c r="G315" s="181" t="inlineStr">
        <is>
          <t>☐</t>
        </is>
      </c>
    </row>
    <row r="316" ht="48" customHeight="1" s="89">
      <c r="A316" s="181" t="n">
        <v>5</v>
      </c>
      <c r="B316" s="182" t="inlineStr">
        <is>
          <t>README.md 작성(소개/아키텍처/스택/설치법/환경변수/Demo계정/Real·Mock범위)</t>
        </is>
      </c>
      <c r="C316" s="182" t="inlineStr">
        <is>
          <t>Gemini(검토보조)</t>
        </is>
      </c>
      <c r="D316" s="182" t="inlineStr">
        <is>
          <t>README.md</t>
        </is>
      </c>
      <c r="E316" s="182" t="inlineStr">
        <is>
          <t>▶ 배포 전 마지막 방어선 — 여기서 놓치면 발표 중 사고로 직결
⚠ 체크리스트 일부만 하지 말고 전체 시나리오를 빠짐없이 재현</t>
        </is>
      </c>
      <c r="F316" s="182" t="inlineStr">
        <is>
          <t>각 항목을 실제로 테스트해보고 결과를 기록</t>
        </is>
      </c>
      <c r="G316" s="181" t="inlineStr">
        <is>
          <t>☐</t>
        </is>
      </c>
    </row>
    <row r="317" ht="48" customHeight="1" s="89">
      <c r="A317" s="181" t="n">
        <v>6</v>
      </c>
      <c r="B317" s="182" t="inlineStr">
        <is>
          <t>GitHub 저장소 최종정리 + 프로덕션 배포 전환(스테이징→정식)+CORS 최종확인</t>
        </is>
      </c>
      <c r="C317" s="182" t="inlineStr">
        <is>
          <t>Claude Code(직접실행)</t>
        </is>
      </c>
      <c r="D317" s="182" t="inlineStr">
        <is>
          <t>전체 저장소</t>
        </is>
      </c>
      <c r="E317" s="182" t="inlineStr">
        <is>
          <t>▶ Feature Freeze 이후에는 로직 변경 없이 텍스트·설정만 수정
⚠ 제출 직전 급하게 뭔가 더 고치려는 유혹을 참는다</t>
        </is>
      </c>
      <c r="F317" s="182" t="inlineStr">
        <is>
          <t>최종 산출물(배포본/영상/문서)을 처음부터 끝까지 직접 재생·재확인</t>
        </is>
      </c>
      <c r="G317" s="181" t="inlineStr">
        <is>
          <t>☐</t>
        </is>
      </c>
    </row>
    <row r="318" ht="109.5" customHeight="1" s="89">
      <c r="A318" s="183" t="inlineStr">
        <is>
          <t>🎬 오늘의 시나리오</t>
        </is>
      </c>
      <c r="B318" s="184" t="n"/>
      <c r="C318" s="183" t="inlineStr">
        <is>
          <t>[상황] 지금까지 만든 기능이 서로 맞물려 전체 흐름으로 돌아가는지 통째로 확인해야 할 시점
[동작] ① 예약→청소→AI→정산→알림 전체 플로우를 1회 통관 테스트 ② 끊기는 지점 전수 점검
[원칙 없었다면] 부분별로만 테스트하면 기능 A와 B가 만나는 지점의 버그를 발표 직전에야 발견</t>
        </is>
      </c>
      <c r="D318" s="185" t="n"/>
      <c r="E318" s="185" t="n"/>
      <c r="F318" s="185" t="n"/>
      <c r="G318" s="184" t="n"/>
    </row>
    <row r="319" ht="19.5" customHeight="1" s="89">
      <c r="A319" s="186" t="inlineStr">
        <is>
          <t>🌅 아침 크로스체크</t>
        </is>
      </c>
      <c r="B319" s="184" t="n"/>
      <c r="C319" s="186" t="inlineStr">
        <is>
          <t>☐ 전날 순서대로 실행됨  ☐ 위 작업 전부 완료  ☐ git commit 완료  ☐ 전날 백업 실행(backup_push.ps1/.bat 더블클릭 → git push+Desktop 미러백업)</t>
        </is>
      </c>
      <c r="D319" s="185" t="n"/>
      <c r="E319" s="185" t="n"/>
      <c r="F319" s="184" t="n"/>
      <c r="G319" s="186" t="inlineStr">
        <is>
          <t>메모:</t>
        </is>
      </c>
    </row>
    <row r="321" ht="24" customHeight="1" s="89">
      <c r="A321" s="178" t="inlineStr">
        <is>
          <t>📅 2026-10-09(금)  ·  35일차  ·  작업 5건</t>
        </is>
      </c>
    </row>
    <row r="322" ht="18" customHeight="1" s="89">
      <c r="A322" s="179" t="inlineStr">
        <is>
          <t>🎯 오늘의 타이틀: Mock/Real 표현 최종점검 + '숙소운영특화 AI Agent' 표현 일관성 점검</t>
        </is>
      </c>
    </row>
    <row r="323" ht="15" customHeight="1" s="89">
      <c r="A323" s="180" t="inlineStr">
        <is>
          <t>순서</t>
        </is>
      </c>
      <c r="B323" s="180" t="inlineStr">
        <is>
          <t>세부 작업</t>
        </is>
      </c>
      <c r="C323" s="180" t="inlineStr">
        <is>
          <t>활용도구</t>
        </is>
      </c>
      <c r="D323" s="180" t="inlineStr">
        <is>
          <t>파일 위치</t>
        </is>
      </c>
      <c r="E323" s="180" t="inlineStr">
        <is>
          <t>핵심포인트 / 주의할 점</t>
        </is>
      </c>
      <c r="F323" s="180" t="inlineStr">
        <is>
          <t>확인방법</t>
        </is>
      </c>
      <c r="G323" s="180" t="inlineStr">
        <is>
          <t>완료</t>
        </is>
      </c>
    </row>
    <row r="324" ht="48" customHeight="1" s="89">
      <c r="A324" s="181" t="n">
        <v>1</v>
      </c>
      <c r="B324" s="182" t="inlineStr">
        <is>
          <t>1920x1080 데스크톱+Chrome 기준 화면 확인</t>
        </is>
      </c>
      <c r="C324" s="182" t="inlineStr">
        <is>
          <t>Claude Code(직접실행)</t>
        </is>
      </c>
      <c r="D324" s="182" t="inlineStr">
        <is>
          <t>frontend/ (브라우저 확인, 파일아님)</t>
        </is>
      </c>
      <c r="E324" s="182" t="inlineStr">
        <is>
          <t>▶ 배포 전 마지막 방어선 — 여기서 놓치면 발표 중 사고로 직결
⚠ 체크리스트 일부만 하지 말고 전체 시나리오를 빠짐없이 재현</t>
        </is>
      </c>
      <c r="F324" s="182" t="inlineStr">
        <is>
          <t>각 항목을 실제로 테스트해보고 결과를 기록</t>
        </is>
      </c>
      <c r="G324" s="181" t="inlineStr">
        <is>
          <t>☐</t>
        </is>
      </c>
    </row>
    <row r="325" ht="48" customHeight="1" s="89">
      <c r="A325" s="181" t="n">
        <v>2</v>
      </c>
      <c r="B325" s="182" t="inlineStr">
        <is>
          <t>Mock/Real 표현 최종점검 + '숙소운영특화 AI Agent' 표현 일관성 점검</t>
        </is>
      </c>
      <c r="C325" s="182" t="inlineStr">
        <is>
          <t>Claude Code(직접실행)</t>
        </is>
      </c>
      <c r="D325" s="182" t="inlineStr">
        <is>
          <t>frontend/src/ (전체 텍스트 검수)</t>
        </is>
      </c>
      <c r="E325" s="182" t="inlineStr">
        <is>
          <t>▶ Feature Freeze 이후에는 로직 변경 없이 텍스트·설정만 수정
⚠ 제출 직전 급하게 뭔가 더 고치려는 유혹을 참는다</t>
        </is>
      </c>
      <c r="F325" s="182" t="inlineStr">
        <is>
          <t>최종 산출물(배포본/영상/문서)을 처음부터 끝까지 직접 재생·재확인</t>
        </is>
      </c>
      <c r="G325" s="181" t="inlineStr">
        <is>
          <t>☐</t>
        </is>
      </c>
    </row>
    <row r="326" ht="48" customHeight="1" s="89">
      <c r="A326" s="181" t="n">
        <v>3</v>
      </c>
      <c r="B326" s="182" t="inlineStr">
        <is>
          <t>발표 슬라이드 최종본 확정(AI Agent Loop 다이어그램 포함)</t>
        </is>
      </c>
      <c r="C326" s="182" t="inlineStr">
        <is>
          <t>본인 직접(콘텐츠 확인/검토, 코드작업 아님)</t>
        </is>
      </c>
      <c r="D326" s="182" t="inlineStr">
        <is>
          <t>docs/presentation.pptx (외부)</t>
        </is>
      </c>
      <c r="E326" s="182" t="inlineStr">
        <is>
          <t>▶ Feature Freeze 이후에는 로직 변경 없이 텍스트·설정만 수정
⚠ 제출 직전 급하게 뭔가 더 고치려는 유혹을 참는다</t>
        </is>
      </c>
      <c r="F326" s="182" t="inlineStr">
        <is>
          <t>최종 산출물(배포본/영상/문서)을 처음부터 끝까지 직접 재생·재확인</t>
        </is>
      </c>
      <c r="G326" s="181" t="inlineStr">
        <is>
          <t>☐</t>
        </is>
      </c>
    </row>
    <row r="327" ht="48" customHeight="1" s="89">
      <c r="A327" s="181" t="n">
        <v>4</v>
      </c>
      <c r="B327" s="182" t="inlineStr">
        <is>
          <t>영상 대본/콘티 최종본 확정(10/7 초안 기반, 실제 화면 캡처 반영)</t>
        </is>
      </c>
      <c r="C327" s="182" t="inlineStr">
        <is>
          <t>본인 직접(콘텐츠 확인/검토, 코드작업 아님)</t>
        </is>
      </c>
      <c r="D327" s="182" t="inlineStr">
        <is>
          <t>docs/video_script.md</t>
        </is>
      </c>
      <c r="E327" s="182" t="inlineStr">
        <is>
          <t>▶ Feature Freeze 이후에는 로직 변경 없이 텍스트·설정만 수정
⚠ 제출 직전 급하게 뭔가 더 고치려는 유혹을 참는다</t>
        </is>
      </c>
      <c r="F327" s="182" t="inlineStr">
        <is>
          <t>최종 산출물(배포본/영상/문서)을 처음부터 끝까지 직접 재생·재확인</t>
        </is>
      </c>
      <c r="G327" s="181" t="inlineStr">
        <is>
          <t>☐</t>
        </is>
      </c>
    </row>
    <row r="328" ht="48" customHeight="1" s="89">
      <c r="A328" s="181" t="n">
        <v>5</v>
      </c>
      <c r="B328" s="182" t="inlineStr">
        <is>
          <t>[야간] 화면 녹화 + 음성 나레이션 녹음</t>
        </is>
      </c>
      <c r="C328" s="182" t="inlineStr">
        <is>
          <t>Gemini(검토보조)</t>
        </is>
      </c>
      <c r="D328" s="182" t="inlineStr">
        <is>
          <t>외부(녹화 소프트웨어)</t>
        </is>
      </c>
      <c r="E328" s="182" t="inlineStr">
        <is>
          <t>▶ Feature Freeze 이후에는 로직 변경 없이 텍스트·설정만 수정
⚠ 제출 직전 급하게 뭔가 더 고치려는 유혹을 참는다</t>
        </is>
      </c>
      <c r="F328" s="182" t="inlineStr">
        <is>
          <t>최종 산출물(배포본/영상/문서)을 처음부터 끝까지 직접 재생·재확인</t>
        </is>
      </c>
      <c r="G328" s="181" t="inlineStr">
        <is>
          <t>☐</t>
        </is>
      </c>
    </row>
    <row r="329" ht="109.5" customHeight="1" s="89">
      <c r="A329" s="183" t="inlineStr">
        <is>
          <t>🎬 오늘의 시나리오</t>
        </is>
      </c>
      <c r="B329" s="184" t="n"/>
      <c r="C329" s="183" t="inlineStr">
        <is>
          <t>[상황] 발표 영상에 Mock(시뮬레이션)과 Real(실제구현)이 섞여있는데 이를 명확히 구분 안 하면 과장처럼 보일 위험
[동작] ① 스마트락·가격반영·OTA메시징 등 Mock 표시 전수 확인 ② '숙소운영특화 AI Agent'라는 표현 일관성 점검
[원칙 없었다면] Mock을 Real처럼 보이게 두면 발표 중 질문에서 신뢰도가 크게 깎이는 위험</t>
        </is>
      </c>
      <c r="D329" s="185" t="n"/>
      <c r="E329" s="185" t="n"/>
      <c r="F329" s="185" t="n"/>
      <c r="G329" s="184" t="n"/>
    </row>
    <row r="330" ht="19.5" customHeight="1" s="89">
      <c r="A330" s="186" t="inlineStr">
        <is>
          <t>🌅 아침 크로스체크</t>
        </is>
      </c>
      <c r="B330" s="184" t="n"/>
      <c r="C330" s="186" t="inlineStr">
        <is>
          <t>☐ 전날 순서대로 실행됨  ☐ 위 작업 전부 완료  ☐ git commit 완료  ☐ 전날 백업 실행(backup_push.ps1/.bat 더블클릭 → git push+Desktop 미러백업)</t>
        </is>
      </c>
      <c r="D330" s="185" t="n"/>
      <c r="E330" s="185" t="n"/>
      <c r="F330" s="184" t="n"/>
      <c r="G330" s="186" t="inlineStr">
        <is>
          <t>메모:</t>
        </is>
      </c>
    </row>
    <row r="332" ht="24" customHeight="1" s="89">
      <c r="A332" s="178" t="inlineStr">
        <is>
          <t>📅 2026-10-10(토)  ·  36일차  ·  작업 5건</t>
        </is>
      </c>
    </row>
    <row r="333" ht="18" customHeight="1" s="89">
      <c r="A333" s="179" t="inlineStr">
        <is>
          <t>🎯 오늘의 타이틀: 아침 검토: 전날 녹화분 확인, 재촬영 필요분 파악</t>
        </is>
      </c>
    </row>
    <row r="334" ht="15" customHeight="1" s="89">
      <c r="A334" s="180" t="inlineStr">
        <is>
          <t>순서</t>
        </is>
      </c>
      <c r="B334" s="180" t="inlineStr">
        <is>
          <t>세부 작업</t>
        </is>
      </c>
      <c r="C334" s="180" t="inlineStr">
        <is>
          <t>활용도구</t>
        </is>
      </c>
      <c r="D334" s="180" t="inlineStr">
        <is>
          <t>파일 위치</t>
        </is>
      </c>
      <c r="E334" s="180" t="inlineStr">
        <is>
          <t>핵심포인트 / 주의할 점</t>
        </is>
      </c>
      <c r="F334" s="180" t="inlineStr">
        <is>
          <t>확인방법</t>
        </is>
      </c>
      <c r="G334" s="180" t="inlineStr">
        <is>
          <t>완료</t>
        </is>
      </c>
    </row>
    <row r="335" ht="48" customHeight="1" s="89">
      <c r="A335" s="181" t="n">
        <v>1</v>
      </c>
      <c r="B335" s="182" t="inlineStr">
        <is>
          <t>아침 검토: 전날 녹화분 확인, 재촬영 필요분 파악</t>
        </is>
      </c>
      <c r="C335" s="182" t="inlineStr">
        <is>
          <t>본인 직접(콘텐츠 확인/검토, 코드작업 아님)</t>
        </is>
      </c>
      <c r="D335" s="182" t="inlineStr">
        <is>
          <t>외부(전날 녹화된 영상 파일 직접 재생·확인)</t>
        </is>
      </c>
      <c r="E335" s="182" t="inlineStr">
        <is>
          <t>▶ Feature Freeze 이후에는 로직 변경 없이 텍스트·설정만 수정
⚠ 제출 직전 급하게 뭔가 더 고치려는 유혹을 참는다</t>
        </is>
      </c>
      <c r="F335" s="182" t="inlineStr">
        <is>
          <t>최종 산출물(배포본/영상/문서)을 처음부터 끝까지 직접 재생·재확인</t>
        </is>
      </c>
      <c r="G335" s="181" t="inlineStr">
        <is>
          <t>☐</t>
        </is>
      </c>
    </row>
    <row r="336" ht="48" customHeight="1" s="89">
      <c r="A336" s="181" t="n">
        <v>2</v>
      </c>
      <c r="B336" s="182" t="inlineStr">
        <is>
          <t>[야간] 영상 편집(컷/자막/전환) + 렌더링</t>
        </is>
      </c>
      <c r="C336" s="182" t="inlineStr">
        <is>
          <t>Gemini(검토보조)</t>
        </is>
      </c>
      <c r="D336" s="182" t="inlineStr">
        <is>
          <t>외부(편집 소프트웨어)</t>
        </is>
      </c>
      <c r="E336" s="182" t="inlineStr">
        <is>
          <t>▶ 녹화 시점의 코드를 버전 태그로 고정해서 '보여준 화면=제출 코드' 일치를 보장
⚠ 녹화 후에 코드를 더 고치고 싶은 충동을 참을 것(버전 불일치 위험)</t>
        </is>
      </c>
      <c r="F336" s="182" t="inlineStr">
        <is>
          <t>최종 mp4를 다른 플레이어·다른 브라우저에서도 정상 재생되는지 확인</t>
        </is>
      </c>
      <c r="G336" s="181" t="inlineStr">
        <is>
          <t>☐</t>
        </is>
      </c>
    </row>
    <row r="337" ht="48" customHeight="1" s="89">
      <c r="A337" s="181" t="n">
        <v>3</v>
      </c>
      <c r="B337" s="182" t="inlineStr">
        <is>
          <t>최종 포맷/용량 확인 + 백업본 준비 + 최종 제출</t>
        </is>
      </c>
      <c r="C337" s="182" t="inlineStr">
        <is>
          <t>Claude Code(직접실행)</t>
        </is>
      </c>
      <c r="D337" s="182" t="inlineStr">
        <is>
          <t>제출플랫폼(외부)</t>
        </is>
      </c>
      <c r="E337" s="182" t="inlineStr">
        <is>
          <t>▶ Feature Freeze 이후에는 로직 변경 없이 텍스트·설정만 수정
⚠ 제출 직전 급하게 뭔가 더 고치려는 유혹을 참는다</t>
        </is>
      </c>
      <c r="F337" s="182" t="inlineStr">
        <is>
          <t>최종 산출물(배포본/영상/문서)을 처음부터 끝까지 직접 재생·재확인</t>
        </is>
      </c>
      <c r="G337" s="181" t="inlineStr">
        <is>
          <t>☐</t>
        </is>
      </c>
    </row>
    <row r="338" ht="48" customHeight="1" s="89">
      <c r="A338" s="181" t="n">
        <v>4</v>
      </c>
      <c r="B338" s="182" t="inlineStr">
        <is>
          <t>✅ 설명문서 + 소스코드(ZIP) PBT 제출(외부마감 10/10)</t>
        </is>
      </c>
      <c r="C338" s="182" t="inlineStr">
        <is>
          <t>Claude Code(직접실행)</t>
        </is>
      </c>
      <c r="D338" s="182" t="inlineStr">
        <is>
          <t>제출플랫폼(외부)</t>
        </is>
      </c>
      <c r="E338" s="182" t="inlineStr">
        <is>
          <t>▶ Feature Freeze 이후에는 로직 변경 없이 텍스트·설정만 수정
⚠ 제출 직전 급하게 뭔가 더 고치려는 유혹을 참는다</t>
        </is>
      </c>
      <c r="F338" s="182" t="inlineStr">
        <is>
          <t>최종 산출물(배포본/영상/문서)을 처음부터 끝까지 직접 재생·재확인</t>
        </is>
      </c>
      <c r="G338" s="181" t="inlineStr">
        <is>
          <t>☐</t>
        </is>
      </c>
    </row>
    <row r="339" ht="48" customHeight="1" s="89">
      <c r="A339" s="181" t="n">
        <v>5</v>
      </c>
      <c r="B339" s="182" t="inlineStr">
        <is>
          <t>소스코드 ZIP 생성(node_modules·.env·__pycache__ 제외 확인)</t>
        </is>
      </c>
      <c r="C339" s="182" t="inlineStr">
        <is>
          <t>Claude Code(직접실행)</t>
        </is>
      </c>
      <c r="D339" s="182" t="inlineStr">
        <is>
          <t>전체 저장소</t>
        </is>
      </c>
      <c r="E339" s="182" t="inlineStr">
        <is>
          <t>▶ Feature Freeze 이후에는 로직 변경 없이 텍스트·설정만 수정
⚠ 제출 직전 급하게 뭔가 더 고치려는 유혹을 참는다</t>
        </is>
      </c>
      <c r="F339" s="182" t="inlineStr">
        <is>
          <t>최종 산출물(배포본/영상/문서)을 처음부터 끝까지 직접 재생·재확인</t>
        </is>
      </c>
      <c r="G339" s="181" t="inlineStr">
        <is>
          <t>☐</t>
        </is>
      </c>
    </row>
    <row r="340" ht="109.5" customHeight="1" s="89">
      <c r="A340" s="183" t="inlineStr">
        <is>
          <t>🎬 오늘의 시나리오</t>
        </is>
      </c>
      <c r="B340" s="184" t="n"/>
      <c r="C340" s="183" t="inlineStr">
        <is>
          <t>[상황] 어젯밤 녹화분에 재촬영이 필요할 수 있고, 오늘은 설명문서와 소스코드를 제출해야 하는 날이기도 하다
[동작] ① 아침에 전날 녹화분부터 다시 확인 ② 재촬영 필요분만 골라서 다시 찍기 ③ 편집·렌더링 후 소스코드를 ZIP으로 압축(node_modules·.env·__pycache__ 제외 확인) ④ 설명문서와 함께 PBT에 최종 제출
[원칙 없었다면] 확인 없이 바로 편집 들어가면 편집 다 끝난 뒤에야 빠진 장면을 발견하는 최악의 상황. 압축 전에 걸러내지 않으면 API 키나 개인정보가 그대로 담긴 채 제출됨</t>
        </is>
      </c>
      <c r="D340" s="185" t="n"/>
      <c r="E340" s="185" t="n"/>
      <c r="F340" s="185" t="n"/>
      <c r="G340" s="184" t="n"/>
    </row>
    <row r="341" ht="19.5" customHeight="1" s="89">
      <c r="A341" s="186" t="inlineStr">
        <is>
          <t>🌅 아침 크로스체크</t>
        </is>
      </c>
      <c r="B341" s="184" t="n"/>
      <c r="C341" s="186" t="inlineStr">
        <is>
          <t>☐ 전날 순서대로 실행됨  ☐ 위 작업 전부 완료  ☐ git commit 완료  ☐ 전날 백업 실행(backup_push.ps1/.bat 더블클릭 → git push+Desktop 미러백업)</t>
        </is>
      </c>
      <c r="D341" s="185" t="n"/>
      <c r="E341" s="185" t="n"/>
      <c r="F341" s="184" t="n"/>
      <c r="G341" s="186" t="inlineStr">
        <is>
          <t>메모:</t>
        </is>
      </c>
    </row>
    <row r="343" ht="24" customHeight="1" s="89">
      <c r="A343" s="178" t="inlineStr">
        <is>
          <t>📅 2026-10-11(일)  ·  37일차  ·  작업 5건</t>
        </is>
      </c>
    </row>
    <row r="344" ht="18" customHeight="1" s="89">
      <c r="A344" s="179" t="inlineStr">
        <is>
          <t>🎯 오늘의 타이틀: 데모 데이터 시드 재실행(DB 초기화+골든패스 데이터 재세팅)</t>
        </is>
      </c>
    </row>
    <row r="345" ht="15" customHeight="1" s="89">
      <c r="A345" s="180" t="inlineStr">
        <is>
          <t>순서</t>
        </is>
      </c>
      <c r="B345" s="180" t="inlineStr">
        <is>
          <t>세부 작업</t>
        </is>
      </c>
      <c r="C345" s="180" t="inlineStr">
        <is>
          <t>활용도구</t>
        </is>
      </c>
      <c r="D345" s="180" t="inlineStr">
        <is>
          <t>파일 위치</t>
        </is>
      </c>
      <c r="E345" s="180" t="inlineStr">
        <is>
          <t>핵심포인트 / 주의할 점</t>
        </is>
      </c>
      <c r="F345" s="180" t="inlineStr">
        <is>
          <t>확인방법</t>
        </is>
      </c>
      <c r="G345" s="180" t="inlineStr">
        <is>
          <t>완료</t>
        </is>
      </c>
    </row>
    <row r="346" ht="48" customHeight="1" s="89">
      <c r="A346" s="181" t="n">
        <v>1</v>
      </c>
      <c r="B346" s="182" t="inlineStr">
        <is>
          <t>데모 데이터 시드 재실행(DB 초기화+골든패스 데이터 재세팅)</t>
        </is>
      </c>
      <c r="C346" s="182" t="inlineStr">
        <is>
          <t>Claude Code(직접실행)</t>
        </is>
      </c>
      <c r="D346" s="182" t="inlineStr">
        <is>
          <t>backend/scripts/seed_demo.py</t>
        </is>
      </c>
      <c r="E346" s="182" t="inlineStr">
        <is>
          <t>▶ 발표 당일 사고 예방이 유일한 목적
⚠ 시연 직전 반드시 실제 환경에서 리허설한다(로컬 테스트만으로 안심 금지)</t>
        </is>
      </c>
      <c r="F346" s="182" t="inlineStr">
        <is>
          <t>처음부터 끝까지 실제로 클릭해보며 끊기는 지점이 없는지 확인</t>
        </is>
      </c>
      <c r="G346" s="181" t="inlineStr">
        <is>
          <t>☐</t>
        </is>
      </c>
    </row>
    <row r="347" ht="48" customHeight="1" s="89">
      <c r="A347" s="181" t="n">
        <v>2</v>
      </c>
      <c r="B347" s="182" t="inlineStr">
        <is>
          <t>E2E 데모 시나리오 리허설(로그인→대시보드→액션센터→예약확인→AI문의→승인→청소→정산 1회 실행)</t>
        </is>
      </c>
      <c r="C347" s="182" t="inlineStr">
        <is>
          <t>Claude Code(직접실행)</t>
        </is>
      </c>
      <c r="D347" s="182" t="inlineStr">
        <is>
          <t>docs/demo_scenario.md</t>
        </is>
      </c>
      <c r="E347" s="182" t="inlineStr">
        <is>
          <t>▶ 발표 전 마지막 통관 테스트 — 로그인부터 정산까지 실제로 끊기는 지점이 있는지 확인하는 것이 유일한 목적
⚠ 로컬 개발환경이 아니라 실제 배포된(Supabase 연결) 환경에서 리허설해야 의미가 있다 — 로컬에서만 통과하고 배포환경에서 다르게 동작할 위험을 놓치면 발표 당일 사고로 이어진다</t>
        </is>
      </c>
      <c r="F347" s="182" t="inlineStr">
        <is>
          <t>로그인→대시보드→액션센터→예약확인→AI문의→승인→청소→정산까지 끊김없이 1회 실행, 발표영상 실제 재생 확인 포함(음성·화면 끝까지 끊김없이 재생되는지)</t>
        </is>
      </c>
      <c r="G347" s="181" t="inlineStr">
        <is>
          <t>☐</t>
        </is>
      </c>
    </row>
    <row r="348" ht="48" customHeight="1" s="89">
      <c r="A348" s="181" t="n">
        <v>3</v>
      </c>
      <c r="B348" s="182" t="inlineStr">
        <is>
          <t>예상 Q&amp;A 답변 준비(iCal 선택이유/DB전환이유/AI Agent vs 챗봇 차이 등)</t>
        </is>
      </c>
      <c r="C348" s="182" t="inlineStr">
        <is>
          <t>본인 직접(콘텐츠 확인/검토, 코드작업 아님)</t>
        </is>
      </c>
      <c r="D348" s="182" t="inlineStr">
        <is>
          <t>docs/qna_prep.md</t>
        </is>
      </c>
      <c r="E348" s="182" t="inlineStr">
        <is>
          <t>▶ 발표 당일 사고 예방이 유일한 목적
⚠ 시연 직전 반드시 실제 환경에서 리허설한다(로컬 테스트만으로 안심 금지)</t>
        </is>
      </c>
      <c r="F348" s="182" t="inlineStr">
        <is>
          <t>처음부터 끝까지 실제로 클릭해보며 끊기는 지점이 없는지 확인</t>
        </is>
      </c>
      <c r="G348" s="181" t="inlineStr">
        <is>
          <t>☐</t>
        </is>
      </c>
    </row>
    <row r="349" ht="48" customHeight="1" s="89">
      <c r="A349" s="181" t="n">
        <v>4</v>
      </c>
      <c r="B349" s="182" t="inlineStr">
        <is>
          <t>✅ 6.5단계 검증: 배포본 재생·서버 웨이크업·발표 최종 리허설</t>
        </is>
      </c>
      <c r="C349" s="182" t="inlineStr">
        <is>
          <t>Claude Code(직접실행)</t>
        </is>
      </c>
      <c r="D349" s="182" t="inlineStr">
        <is>
          <t>backend/ 또는 frontend/ (세부 위치는 해당일 착수시 확정)</t>
        </is>
      </c>
      <c r="E349" s="182" t="inlineStr">
        <is>
          <t>▶ 발표 당일 사고 예방이 유일한 목적
⚠ 시연 직전 반드시 실제 환경에서 리허설한다(로컬 테스트만으로 안심 금지)</t>
        </is>
      </c>
      <c r="F349" s="182" t="inlineStr">
        <is>
          <t>처음부터 끝까지 실제로 클릭해보며 끊기는 지점이 없는지 확인. 발표영상 실제 재생 확인 포함(음성·화면 끝까지 끊김없이 재생되는지, 10/11 리허설 때 반드시 함께 확인)</t>
        </is>
      </c>
      <c r="G349" s="181" t="inlineStr">
        <is>
          <t>☐</t>
        </is>
      </c>
    </row>
    <row r="350" ht="48" customHeight="1" s="89">
      <c r="A350" s="181" t="n">
        <v>5</v>
      </c>
      <c r="B350" s="182" t="inlineStr">
        <is>
          <t>✅ 발표자료(PPT) PBT 제출(외부마감 10/11)</t>
        </is>
      </c>
      <c r="C350" s="182" t="inlineStr">
        <is>
          <t>Claude Code(직접실행)</t>
        </is>
      </c>
      <c r="D350" s="182" t="inlineStr">
        <is>
          <t>제출플랫폼(외부)</t>
        </is>
      </c>
      <c r="E350" s="182" t="inlineStr">
        <is>
          <t>▶ 발표 당일 사고 예방이 유일한 목적
⚠ 시연 직전 반드시 실제 환경에서 리허설한다(로컬 테스트만으로 안심 금지)</t>
        </is>
      </c>
      <c r="F350" s="182" t="inlineStr">
        <is>
          <t>처음부터 끝까지 실제로 클릭해보며 끊기는 지점이 없는지 확인</t>
        </is>
      </c>
      <c r="G350" s="181" t="inlineStr">
        <is>
          <t>☐</t>
        </is>
      </c>
    </row>
    <row r="351" ht="109.5" customHeight="1" s="89">
      <c r="A351" s="183" t="inlineStr">
        <is>
          <t>🎬 오늘의 시나리오</t>
        </is>
      </c>
      <c r="B351" s="184" t="n"/>
      <c r="C351" s="183" t="inlineStr">
        <is>
          <t>[상황] 발표 전날, 실제 발표에 쓸 데이터가 지금까지 테스트하며 어질러진 상태일 수 있음
[동작] ① DB 초기화 후 골든패스 데이터로 재세팅 ② 로그인→예약→AI응대→정산까지 리허설 1회 실행 ③ 발표자료(PPT)를 PBT에 제출 — 오늘이 외부마감이다
[원칙 없었다면] 어질러진 데이터로 발표하면 화면에 이상한 값이 노출되거나 시나리오가 꼬이는 사고</t>
        </is>
      </c>
      <c r="D351" s="185" t="n"/>
      <c r="E351" s="185" t="n"/>
      <c r="F351" s="185" t="n"/>
      <c r="G351" s="184" t="n"/>
    </row>
    <row r="352" ht="19.5" customHeight="1" s="89">
      <c r="A352" s="187" t="inlineStr">
        <is>
          <t>🌅 아침 크로스체크</t>
        </is>
      </c>
      <c r="B352" s="184" t="n"/>
      <c r="C352" s="187" t="inlineStr">
        <is>
          <t>☐ 전날 순서대로 실행됨  ☐ 위 작업 전부 완료  ☐ git commit 완료  ☐ 전날 백업 실행(backup_push.ps1/.bat 더블클릭 → git push+Desktop 미러백업)  ☐ 검증 체크 완료  ☐ 🔍 오늘은 검증일! DoD 결과 '9단계 검증 체크리스트' 시트에 기록</t>
        </is>
      </c>
      <c r="D352" s="185" t="n"/>
      <c r="E352" s="185" t="n"/>
      <c r="F352" s="184" t="n"/>
      <c r="G352" s="187" t="inlineStr">
        <is>
          <t>메모:</t>
        </is>
      </c>
    </row>
  </sheetData>
  <mergeCells count="224">
    <mergeCell ref="C254:G254"/>
    <mergeCell ref="C61:F61"/>
    <mergeCell ref="C144:F144"/>
    <mergeCell ref="C175:G175"/>
    <mergeCell ref="A231:G231"/>
    <mergeCell ref="A291:B291"/>
    <mergeCell ref="A240:G240"/>
    <mergeCell ref="A333:G333"/>
    <mergeCell ref="C72:F72"/>
    <mergeCell ref="A88:B88"/>
    <mergeCell ref="C81:F81"/>
    <mergeCell ref="C352:F352"/>
    <mergeCell ref="C290:G290"/>
    <mergeCell ref="A28:G28"/>
    <mergeCell ref="A228:B228"/>
    <mergeCell ref="A54:B54"/>
    <mergeCell ref="C136:F136"/>
    <mergeCell ref="A310:G310"/>
    <mergeCell ref="A277:B277"/>
    <mergeCell ref="C193:G193"/>
    <mergeCell ref="A232:G232"/>
    <mergeCell ref="C329:G329"/>
    <mergeCell ref="A236:B236"/>
    <mergeCell ref="A267:B267"/>
    <mergeCell ref="A341:B341"/>
    <mergeCell ref="A343:G343"/>
    <mergeCell ref="A281:G281"/>
    <mergeCell ref="A306:B306"/>
    <mergeCell ref="C184:F184"/>
    <mergeCell ref="C201:G201"/>
    <mergeCell ref="C88:F88"/>
    <mergeCell ref="C26:F26"/>
    <mergeCell ref="C60:G60"/>
    <mergeCell ref="C244:G244"/>
    <mergeCell ref="A271:G271"/>
    <mergeCell ref="A278:B278"/>
    <mergeCell ref="C54:F54"/>
    <mergeCell ref="C71:G71"/>
    <mergeCell ref="C228:G228"/>
    <mergeCell ref="C110:G110"/>
    <mergeCell ref="A53:B53"/>
    <mergeCell ref="A46:G46"/>
    <mergeCell ref="C341:F341"/>
    <mergeCell ref="A139:G139"/>
    <mergeCell ref="A111:B111"/>
    <mergeCell ref="A179:G179"/>
    <mergeCell ref="A302:G302"/>
    <mergeCell ref="A245:B245"/>
    <mergeCell ref="A167:B167"/>
    <mergeCell ref="C278:F278"/>
    <mergeCell ref="A319:B319"/>
    <mergeCell ref="A11:B11"/>
    <mergeCell ref="A91:G91"/>
    <mergeCell ref="A131:G131"/>
    <mergeCell ref="A103:B103"/>
    <mergeCell ref="A100:G100"/>
    <mergeCell ref="C151:G151"/>
    <mergeCell ref="A171:G171"/>
    <mergeCell ref="A61:B61"/>
    <mergeCell ref="A63:G63"/>
    <mergeCell ref="A155:G155"/>
    <mergeCell ref="A87:B87"/>
    <mergeCell ref="C111:F111"/>
    <mergeCell ref="A293:G293"/>
    <mergeCell ref="A344:G344"/>
    <mergeCell ref="C103:G103"/>
    <mergeCell ref="C318:G318"/>
    <mergeCell ref="A128:B128"/>
    <mergeCell ref="C143:G143"/>
    <mergeCell ref="A83:G83"/>
    <mergeCell ref="C183:G183"/>
    <mergeCell ref="C319:F319"/>
    <mergeCell ref="A330:B330"/>
    <mergeCell ref="A268:B268"/>
    <mergeCell ref="A270:G270"/>
    <mergeCell ref="C118:G118"/>
    <mergeCell ref="A222:G222"/>
    <mergeCell ref="C127:G127"/>
    <mergeCell ref="A136:B136"/>
    <mergeCell ref="A138:G138"/>
    <mergeCell ref="C80:G80"/>
    <mergeCell ref="C167:G167"/>
    <mergeCell ref="A26:B26"/>
    <mergeCell ref="A210:B210"/>
    <mergeCell ref="A71:B71"/>
    <mergeCell ref="A2:H2"/>
    <mergeCell ref="A298:B298"/>
    <mergeCell ref="A194:B194"/>
    <mergeCell ref="A307:B307"/>
    <mergeCell ref="A205:G205"/>
    <mergeCell ref="C159:G159"/>
    <mergeCell ref="A184:B184"/>
    <mergeCell ref="C202:F202"/>
    <mergeCell ref="A75:G75"/>
    <mergeCell ref="C219:G219"/>
    <mergeCell ref="C211:F211"/>
    <mergeCell ref="A244:B244"/>
    <mergeCell ref="C330:F330"/>
    <mergeCell ref="C291:F291"/>
    <mergeCell ref="A299:B299"/>
    <mergeCell ref="A10:B10"/>
    <mergeCell ref="A239:G239"/>
    <mergeCell ref="A301:G301"/>
    <mergeCell ref="A248:G248"/>
    <mergeCell ref="A57:G57"/>
    <mergeCell ref="A113:G113"/>
    <mergeCell ref="A229:B229"/>
    <mergeCell ref="C87:G87"/>
    <mergeCell ref="C298:G298"/>
    <mergeCell ref="A5:G5"/>
    <mergeCell ref="C194:F194"/>
    <mergeCell ref="A143:B143"/>
    <mergeCell ref="A247:G247"/>
    <mergeCell ref="A14:G14"/>
    <mergeCell ref="C267:G267"/>
    <mergeCell ref="C268:F268"/>
    <mergeCell ref="A352:B352"/>
    <mergeCell ref="C119:F119"/>
    <mergeCell ref="A106:G106"/>
    <mergeCell ref="A4:G4"/>
    <mergeCell ref="A147:G147"/>
    <mergeCell ref="A119:B119"/>
    <mergeCell ref="A280:G280"/>
    <mergeCell ref="A332:G332"/>
    <mergeCell ref="C340:G340"/>
    <mergeCell ref="A168:B168"/>
    <mergeCell ref="A170:G170"/>
    <mergeCell ref="C237:F237"/>
    <mergeCell ref="A258:G258"/>
    <mergeCell ref="C229:F229"/>
    <mergeCell ref="A183:B183"/>
    <mergeCell ref="C10:G10"/>
    <mergeCell ref="A186:G186"/>
    <mergeCell ref="C25:G25"/>
    <mergeCell ref="A130:G130"/>
    <mergeCell ref="A193:B193"/>
    <mergeCell ref="A255:B255"/>
    <mergeCell ref="A80:B80"/>
    <mergeCell ref="C160:F160"/>
    <mergeCell ref="C236:G236"/>
    <mergeCell ref="A104:B104"/>
    <mergeCell ref="C97:F97"/>
    <mergeCell ref="C128:F128"/>
    <mergeCell ref="A146:G146"/>
    <mergeCell ref="A175:B175"/>
    <mergeCell ref="A197:G197"/>
    <mergeCell ref="A187:G187"/>
    <mergeCell ref="C152:F152"/>
    <mergeCell ref="A219:B219"/>
    <mergeCell ref="A196:G196"/>
    <mergeCell ref="A290:B290"/>
    <mergeCell ref="C135:G135"/>
    <mergeCell ref="C44:F44"/>
    <mergeCell ref="A84:G84"/>
    <mergeCell ref="C255:F255"/>
    <mergeCell ref="A96:B96"/>
    <mergeCell ref="C176:F176"/>
    <mergeCell ref="A43:B43"/>
    <mergeCell ref="A223:G223"/>
    <mergeCell ref="A294:G294"/>
    <mergeCell ref="A202:B202"/>
    <mergeCell ref="A211:B211"/>
    <mergeCell ref="A213:G213"/>
    <mergeCell ref="A220:B220"/>
    <mergeCell ref="C96:G96"/>
    <mergeCell ref="A47:G47"/>
    <mergeCell ref="A201:B201"/>
    <mergeCell ref="A321:G321"/>
    <mergeCell ref="C210:G210"/>
    <mergeCell ref="A60:B60"/>
    <mergeCell ref="C299:F299"/>
    <mergeCell ref="A122:G122"/>
    <mergeCell ref="A340:B340"/>
    <mergeCell ref="A29:G29"/>
    <mergeCell ref="A1:H1"/>
    <mergeCell ref="A110:B110"/>
    <mergeCell ref="A237:B237"/>
    <mergeCell ref="A121:G121"/>
    <mergeCell ref="C306:G306"/>
    <mergeCell ref="A13:G13"/>
    <mergeCell ref="A25:B25"/>
    <mergeCell ref="C220:F220"/>
    <mergeCell ref="C245:F245"/>
    <mergeCell ref="C307:F307"/>
    <mergeCell ref="A114:G114"/>
    <mergeCell ref="A64:G64"/>
    <mergeCell ref="A118:B118"/>
    <mergeCell ref="C104:F104"/>
    <mergeCell ref="A257:G257"/>
    <mergeCell ref="C277:G277"/>
    <mergeCell ref="A107:G107"/>
    <mergeCell ref="A351:B351"/>
    <mergeCell ref="A178:G178"/>
    <mergeCell ref="C43:G43"/>
    <mergeCell ref="A151:B151"/>
    <mergeCell ref="A162:G162"/>
    <mergeCell ref="A160:B160"/>
    <mergeCell ref="A254:B254"/>
    <mergeCell ref="A135:B135"/>
    <mergeCell ref="A90:G90"/>
    <mergeCell ref="A144:B144"/>
    <mergeCell ref="A159:B159"/>
    <mergeCell ref="C168:F168"/>
    <mergeCell ref="A97:B97"/>
    <mergeCell ref="A99:G99"/>
    <mergeCell ref="A72:B72"/>
    <mergeCell ref="A74:G74"/>
    <mergeCell ref="A56:G56"/>
    <mergeCell ref="A318:B318"/>
    <mergeCell ref="A81:B81"/>
    <mergeCell ref="A152:B152"/>
    <mergeCell ref="A154:G154"/>
    <mergeCell ref="A214:G214"/>
    <mergeCell ref="A163:G163"/>
    <mergeCell ref="A44:B44"/>
    <mergeCell ref="C53:G53"/>
    <mergeCell ref="C11:F11"/>
    <mergeCell ref="A127:B127"/>
    <mergeCell ref="C351:G351"/>
    <mergeCell ref="A322:G322"/>
    <mergeCell ref="A204:G204"/>
    <mergeCell ref="A176:B176"/>
    <mergeCell ref="A329:B329"/>
    <mergeCell ref="A309:G3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2026-09-05T20:01:45Z</dcterms:created>
  <dcterms:modified xsi:type="dcterms:W3CDTF">2026-09-15T13:01:02Z</dcterms:modified>
  <cp:revision>0</cp:revision>
</cp:coreProperties>
</file>