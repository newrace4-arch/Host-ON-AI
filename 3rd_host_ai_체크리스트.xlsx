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최종 스펙 요약" sheetId="1" state="visible" r:id="rId3"/>
    <sheet name="진행현황 요약" sheetId="2" state="visible" r:id="rId4"/>
    <sheet name="체크리스트" sheetId="3" state="visible" r:id="rId5"/>
    <sheet name="9단계 검증 체크리스트" sheetId="4" state="visible" r:id="rId6"/>
    <sheet name="일자별 실행리스트(파일위치)" sheetId="5" state="visible" r:id="rId7"/>
    <sheet name="일일 크로스체크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<sst xmlns="http://schemas.openxmlformats.org/spreadsheetml/2006/main" count="3810" uniqueCount="1048">
  <si>
    <r>
      <rPr>
        <b val="true"/>
        <sz val="16"/>
        <color rgb="FF1F4E78"/>
        <rFont val="Noto Sans CJK SC"/>
        <family val="2"/>
      </rPr>
      <t xml:space="preserve">최종 확정 스펙 </t>
    </r>
    <r>
      <rPr>
        <b val="true"/>
        <sz val="16"/>
        <color rgb="FF1F4E78"/>
        <rFont val="Arial"/>
        <family val="0"/>
        <charset val="1"/>
      </rPr>
      <t xml:space="preserve">(4</t>
    </r>
    <r>
      <rPr>
        <b val="true"/>
        <sz val="16"/>
        <color rgb="FF1F4E78"/>
        <rFont val="Noto Sans CJK SC"/>
        <family val="2"/>
      </rPr>
      <t xml:space="preserve">차 크로스체크 반영</t>
    </r>
    <r>
      <rPr>
        <b val="true"/>
        <sz val="16"/>
        <color rgb="FF1F4E78"/>
        <rFont val="Arial"/>
        <family val="0"/>
        <charset val="1"/>
      </rPr>
      <t xml:space="preserve">, v4 — 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) | </t>
    </r>
    <r>
      <rPr>
        <b val="true"/>
        <sz val="16"/>
        <color rgb="FF1F4E78"/>
        <rFont val="Noto Sans CJK SC"/>
        <family val="2"/>
      </rPr>
      <t xml:space="preserve">브랜드명</t>
    </r>
    <r>
      <rPr>
        <b val="true"/>
        <sz val="16"/>
        <color rgb="FF1F4E78"/>
        <rFont val="Arial"/>
        <family val="0"/>
        <charset val="1"/>
      </rPr>
      <t xml:space="preserve">: Host ON (AI)</t>
    </r>
  </si>
  <si>
    <t xml:space="preserve">구분</t>
  </si>
  <si>
    <t xml:space="preserve">최종 결정</t>
  </si>
  <si>
    <t xml:space="preserve">비고</t>
  </si>
  <si>
    <t xml:space="preserve">데이터 계층</t>
  </si>
  <si>
    <r>
      <rPr>
        <sz val="10"/>
        <rFont val="Arial"/>
        <family val="0"/>
        <charset val="1"/>
      </rPr>
      <t xml:space="preserve">Host → Property(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accommodation_type ENUM) → Room → Bed 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</si>
  <si>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법적으로 한 공간 복수유형 등록 불가</t>
  </si>
  <si>
    <t xml:space="preserve">예약 단위</t>
  </si>
  <si>
    <t xml:space="preserve">Reservation.bookable_unit_type(PROPERTY/ROOM/BED)</t>
  </si>
  <si>
    <r>
      <rPr>
        <sz val="10"/>
        <rFont val="Noto Sans CJK SC"/>
        <family val="2"/>
      </rPr>
      <t xml:space="preserve">본인숙소</t>
    </r>
    <r>
      <rPr>
        <sz val="10"/>
        <rFont val="Arial"/>
        <family val="0"/>
        <charset val="1"/>
      </rPr>
      <t xml:space="preserve">=PROPERTY</t>
    </r>
    <r>
      <rPr>
        <sz val="10"/>
        <rFont val="Noto Sans CJK SC"/>
        <family val="2"/>
      </rPr>
      <t xml:space="preserve">단위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호스텔</t>
    </r>
    <r>
      <rPr>
        <sz val="10"/>
        <rFont val="Arial"/>
        <family val="0"/>
        <charset val="1"/>
      </rPr>
      <t xml:space="preserve">=ROOM</t>
    </r>
    <r>
      <rPr>
        <sz val="10"/>
        <rFont val="Noto Sans CJK SC"/>
        <family val="2"/>
      </rPr>
      <t xml:space="preserve">단위</t>
    </r>
  </si>
  <si>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정산 상태</t>
    </r>
  </si>
  <si>
    <r>
      <rPr>
        <sz val="10"/>
        <rFont val="Arial"/>
        <family val="0"/>
        <charset val="1"/>
      </rPr>
      <t xml:space="preserve">reservation_status / refund_status / financial_status(ESTIMATED/CONFIRMED/MANUALLY_ADJUSTED) </t>
    </r>
    <r>
      <rPr>
        <sz val="10"/>
        <rFont val="Noto Sans CJK SC"/>
        <family val="2"/>
      </rPr>
      <t xml:space="preserve">모두 분리</t>
    </r>
  </si>
  <si>
    <t xml:space="preserve">채널 수수료</t>
  </si>
  <si>
    <r>
      <rPr>
        <sz val="10"/>
        <rFont val="Arial"/>
        <family val="0"/>
        <charset val="1"/>
      </rPr>
      <t xml:space="preserve">commission_rate 0.155(2026.5.25 </t>
    </r>
    <r>
      <rPr>
        <sz val="10"/>
        <rFont val="Noto Sans CJK SC"/>
        <family val="2"/>
      </rPr>
      <t xml:space="preserve">한국 단일수수료 전환 반영</t>
    </r>
    <r>
      <rPr>
        <sz val="10"/>
        <rFont val="Arial"/>
        <family val="0"/>
        <charset val="1"/>
      </rPr>
      <t xml:space="preserve">)</t>
    </r>
  </si>
  <si>
    <t xml:space="preserve">네이버예약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</si>
  <si>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미제공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내보내기 전용으로만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표기</t>
    </r>
  </si>
  <si>
    <t xml:space="preserve">숙박업 유형 법정명칭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</si>
  <si>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외국인관광 도시민박업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정확 표기</t>
    </r>
  </si>
  <si>
    <t xml:space="preserve">등록증 갱신방식</t>
  </si>
  <si>
    <r>
      <rPr>
        <sz val="10"/>
        <rFont val="Noto Sans CJK SC"/>
        <family val="2"/>
      </rPr>
      <t xml:space="preserve">정기갱신 없음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변경사유 발생시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신고</t>
    </r>
    <r>
      <rPr>
        <sz val="10"/>
        <rFont val="Arial"/>
        <family val="0"/>
        <charset val="1"/>
      </rPr>
      <t xml:space="preserve">(EVENT_BASED)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</si>
  <si>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표현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</si>
  <si>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제거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동기화 시점 중복예약 충돌 감지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</si>
  <si>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경계</t>
    </r>
  </si>
  <si>
    <r>
      <rPr>
        <sz val="10"/>
        <rFont val="Arial"/>
        <family val="0"/>
        <charset val="1"/>
      </rPr>
      <t xml:space="preserve">iCal=Real, AI</t>
    </r>
    <r>
      <rPr>
        <sz val="10"/>
        <rFont val="Noto Sans CJK SC"/>
        <family val="2"/>
      </rPr>
      <t xml:space="preserve">응답</t>
    </r>
    <r>
      <rPr>
        <sz val="10"/>
        <rFont val="Arial"/>
        <family val="0"/>
        <charset val="1"/>
      </rPr>
      <t xml:space="preserve">=Real(LLM), 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=Mock</t>
    </r>
  </si>
  <si>
    <r>
      <rPr>
        <sz val="10"/>
        <rFont val="Noto Sans CJK SC"/>
        <family val="2"/>
      </rPr>
      <t xml:space="preserve">화면에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뱃지로 명시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</si>
  <si>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</si>
  <si>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로컬 개발부터 </t>
    </r>
    <r>
      <rPr>
        <sz val="10"/>
        <rFont val="Arial"/>
        <family val="0"/>
        <charset val="1"/>
      </rPr>
      <t xml:space="preserve">Docker Postgres </t>
    </r>
    <r>
      <rPr>
        <sz val="10"/>
        <rFont val="Noto Sans CJK SC"/>
        <family val="2"/>
      </rPr>
      <t xml:space="preserve">사용</t>
    </r>
    <r>
      <rPr>
        <sz val="10"/>
        <rFont val="Arial"/>
        <family val="0"/>
        <charset val="1"/>
      </rPr>
      <t xml:space="preserve">(MariaDB </t>
    </r>
    <r>
      <rPr>
        <sz val="10"/>
        <rFont val="Noto Sans CJK SC"/>
        <family val="2"/>
      </rPr>
      <t xml:space="preserve">대신 채택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</si>
  <si>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MariaDB↔PostgreSQL </t>
    </r>
    <r>
      <rPr>
        <sz val="10"/>
        <rFont val="Noto Sans CJK SC"/>
        <family val="2"/>
      </rPr>
      <t xml:space="preserve">이원화로 인한 배포당일 문법오류 리스크 원천차단</t>
    </r>
  </si>
  <si>
    <r>
      <rPr>
        <sz val="10"/>
        <rFont val="Noto Sans CJK SC"/>
        <family val="2"/>
      </rPr>
      <t xml:space="preserve">배포 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</si>
  <si>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무료플랜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보존을 위해 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서비스를 </t>
    </r>
    <r>
      <rPr>
        <sz val="10"/>
        <rFont val="Arial"/>
        <family val="0"/>
        <charset val="1"/>
      </rPr>
      <t xml:space="preserve">10/1</t>
    </r>
    <r>
      <rPr>
        <sz val="10"/>
        <rFont val="Noto Sans CJK SC"/>
        <family val="2"/>
      </rPr>
      <t xml:space="preserve">에 생성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재생성 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</si>
  <si>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배포를 마지막에 몰아넣지 않되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너무 일찍 만들어 무료시간을 낭비하지도 않음</t>
    </r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</si>
  <si>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</si>
  <si>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사이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단계로 독립 — 화면목록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와이어프레임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디자인시스템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로그인화면 설계</t>
    </r>
  </si>
  <si>
    <t xml:space="preserve">로직은 촘촘했으나 화면 설계 단계 자체가 누락되어 있었음</t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</si>
  <si>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</si>
  <si>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기능명세에는 있었으나 체크리스트에서 누락됐던 항목</t>
    </r>
    <r>
      <rPr>
        <sz val="10"/>
        <rFont val="Arial"/>
        <family val="0"/>
        <charset val="1"/>
      </rPr>
      <t xml:space="preserve">, 1.5</t>
    </r>
    <r>
      <rPr>
        <sz val="10"/>
        <rFont val="Noto Sans CJK SC"/>
        <family val="2"/>
      </rPr>
      <t xml:space="preserve">단계 설계</t>
    </r>
    <r>
      <rPr>
        <sz val="10"/>
        <rFont val="Arial"/>
        <family val="0"/>
        <charset val="1"/>
      </rPr>
      <t xml:space="preserve">+2</t>
    </r>
    <r>
      <rPr>
        <sz val="10"/>
        <rFont val="Noto Sans CJK SC"/>
        <family val="2"/>
      </rPr>
      <t xml:space="preserve">단계 구현으로 명시 추가</t>
    </r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</si>
  <si>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QA·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</si>
  <si>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단계로 독립 — 회귀테스트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, Mock</t>
    </r>
    <r>
      <rPr>
        <sz val="10"/>
        <rFont val="Noto Sans CJK SC"/>
        <family val="2"/>
      </rPr>
      <t xml:space="preserve">라벨 전수확인</t>
    </r>
    <r>
      <rPr>
        <sz val="10"/>
        <rFont val="Arial"/>
        <family val="0"/>
        <charset val="1"/>
      </rPr>
      <t xml:space="preserve">, README</t>
    </r>
  </si>
  <si>
    <r>
      <rPr>
        <sz val="10"/>
        <rFont val="Arial"/>
        <family val="0"/>
        <charset val="1"/>
      </rPr>
      <t xml:space="preserve">QA</t>
    </r>
    <r>
      <rPr>
        <sz val="10"/>
        <rFont val="Noto Sans CJK SC"/>
        <family val="2"/>
      </rPr>
      <t xml:space="preserve">를 마지막에 몰아넣지 않고 별도 단계화</t>
    </r>
  </si>
  <si>
    <r>
      <rPr>
        <sz val="10"/>
        <rFont val="Noto Sans CJK SC"/>
        <family val="2"/>
      </rPr>
      <t xml:space="preserve">데모 데이터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</si>
  <si>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골든패스 시드 스크립트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호스트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숙소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15~20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긴급알림 시나리오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사전 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발표전 재실행</t>
    </r>
  </si>
  <si>
    <r>
      <rPr>
        <sz val="10"/>
        <rFont val="Noto Sans CJK SC"/>
        <family val="2"/>
      </rPr>
      <t xml:space="preserve">발표 중 빈화면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알림 미표시 방지</t>
    </r>
  </si>
  <si>
    <r>
      <rPr>
        <sz val="10"/>
        <rFont val="Noto Sans CJK SC"/>
        <family val="2"/>
      </rPr>
      <t xml:space="preserve">최종 데모검증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</si>
  <si>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— </t>
    </r>
    <r>
      <rPr>
        <sz val="10"/>
        <rFont val="Arial"/>
        <family val="0"/>
        <charset val="1"/>
      </rPr>
      <t xml:space="preserve">Demo Reset+E2E </t>
    </r>
    <r>
      <rPr>
        <sz val="10"/>
        <rFont val="Noto Sans CJK SC"/>
        <family val="2"/>
      </rPr>
      <t xml:space="preserve">시나리오 리허설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준비</t>
    </r>
    <r>
      <rPr>
        <sz val="10"/>
        <rFont val="Arial"/>
        <family val="0"/>
        <charset val="1"/>
      </rPr>
      <t xml:space="preserve">, 10/11</t>
    </r>
    <r>
      <rPr>
        <sz val="10"/>
        <rFont val="Noto Sans CJK SC"/>
        <family val="2"/>
      </rPr>
      <t xml:space="preserve">에 배치</t>
    </r>
  </si>
  <si>
    <r>
      <rPr>
        <sz val="10"/>
        <rFont val="Arial"/>
        <family val="0"/>
        <charset val="1"/>
      </rPr>
      <t xml:space="preserve">10/12</t>
    </r>
    <r>
      <rPr>
        <sz val="10"/>
        <rFont val="Noto Sans CJK SC"/>
        <family val="2"/>
      </rPr>
      <t xml:space="preserve">는 발표당일이라 작업 없음</t>
    </r>
  </si>
  <si>
    <t xml:space="preserve">발표 방식</t>
  </si>
  <si>
    <r>
      <rPr>
        <sz val="10"/>
        <rFont val="Noto Sans CJK SC"/>
        <family val="2"/>
      </rPr>
      <t xml:space="preserve">음성 나레이션 포함 영상으로 발표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제출자료 자체가 영상일 필요는 없음</t>
    </r>
  </si>
  <si>
    <r>
      <rPr>
        <sz val="10"/>
        <rFont val="Noto Sans CJK SC"/>
        <family val="2"/>
      </rPr>
      <t xml:space="preserve">제출마감 </t>
    </r>
    <r>
      <rPr>
        <sz val="10"/>
        <rFont val="Arial"/>
        <family val="0"/>
        <charset val="1"/>
      </rPr>
      <t xml:space="preserve">10/10, 10/11</t>
    </r>
    <r>
      <rPr>
        <sz val="10"/>
        <rFont val="Noto Sans CJK SC"/>
        <family val="2"/>
      </rPr>
      <t xml:space="preserve">은 </t>
    </r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최종검증</t>
    </r>
    <r>
      <rPr>
        <sz val="10"/>
        <rFont val="Arial"/>
        <family val="0"/>
        <charset val="1"/>
      </rPr>
      <t xml:space="preserve">, 10/12 </t>
    </r>
    <r>
      <rPr>
        <sz val="10"/>
        <rFont val="Noto Sans CJK SC"/>
        <family val="2"/>
      </rPr>
      <t xml:space="preserve">발표</t>
    </r>
  </si>
  <si>
    <t xml:space="preserve">작업 리듬</t>
  </si>
  <si>
    <r>
      <rPr>
        <sz val="10"/>
        <rFont val="Noto Sans CJK SC"/>
        <family val="2"/>
      </rPr>
      <t xml:space="preserve">주간</t>
    </r>
    <r>
      <rPr>
        <sz val="10"/>
        <rFont val="Arial"/>
        <family val="0"/>
        <charset val="1"/>
      </rPr>
      <t xml:space="preserve">(9~18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)=</t>
    </r>
    <r>
      <rPr>
        <sz val="10"/>
        <rFont val="Noto Sans CJK SC"/>
        <family val="2"/>
      </rPr>
      <t xml:space="preserve">본인 직접개발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=AI</t>
    </r>
    <r>
      <rPr>
        <sz val="10"/>
        <rFont val="Noto Sans CJK SC"/>
        <family val="2"/>
      </rPr>
      <t xml:space="preserve">와 문서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콘텐츠 초안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익일아침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검토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보완</t>
    </r>
  </si>
  <si>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담당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열에 표시</t>
    </r>
  </si>
  <si>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, 9/4 </t>
    </r>
    <r>
      <rPr>
        <sz val="10"/>
        <rFont val="Noto Sans CJK SC"/>
        <family val="2"/>
      </rPr>
      <t xml:space="preserve">재조정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</si>
  <si>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주중 월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금 저녁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시간 반복 추가근무</t>
    </r>
    <r>
      <rPr>
        <sz val="10"/>
        <rFont val="Arial"/>
        <family val="0"/>
        <charset val="1"/>
      </rPr>
      <t xml:space="preserve">(9/24~25 </t>
    </r>
    <r>
      <rPr>
        <sz val="10"/>
        <rFont val="Noto Sans CJK SC"/>
        <family val="2"/>
      </rPr>
      <t xml:space="preserve">명절휴무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</si>
  <si>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고정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일 방식→매주 반복 패턴으로 변경</t>
    </r>
    <r>
      <rPr>
        <sz val="10"/>
        <rFont val="Arial"/>
        <family val="0"/>
        <charset val="1"/>
      </rPr>
      <t xml:space="preserve">, 10/5~10/11 </t>
    </r>
    <r>
      <rPr>
        <sz val="10"/>
        <rFont val="Noto Sans CJK SC"/>
        <family val="2"/>
      </rPr>
      <t xml:space="preserve">최고부하구간은 월수금이 자연스럽게 커버</t>
    </r>
  </si>
  <si>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재점검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</si>
  <si>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예약→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대화→</t>
    </r>
    <r>
      <rPr>
        <sz val="10"/>
        <rFont val="Arial"/>
        <family val="0"/>
        <charset val="1"/>
      </rPr>
      <t xml:space="preserve">ActionCenter </t>
    </r>
    <r>
      <rPr>
        <sz val="10"/>
        <rFont val="Noto Sans CJK SC"/>
        <family val="2"/>
      </rPr>
      <t xml:space="preserve">통합 딥링크 부재 → 신규 태스크 추가</t>
    </r>
    <r>
      <rPr>
        <sz val="10"/>
        <rFont val="Arial"/>
        <family val="0"/>
        <charset val="1"/>
      </rPr>
      <t xml:space="preserve">(9/26)</t>
    </r>
  </si>
  <si>
    <r>
      <rPr>
        <sz val="10"/>
        <rFont val="Noto Sans CJK SC"/>
        <family val="2"/>
      </rPr>
      <t xml:space="preserve">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보이는 것 방지</t>
    </r>
  </si>
  <si>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재점검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</si>
  <si>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텍스트 마크다운 렌더링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에러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처리는 이미 반영돼 있었음</t>
    </r>
    <r>
      <rPr>
        <sz val="10"/>
        <rFont val="Arial"/>
        <family val="0"/>
        <charset val="1"/>
      </rPr>
      <t xml:space="preserve">(9/20,9/23)</t>
    </r>
  </si>
  <si>
    <t xml:space="preserve">추가조치 불필요</t>
  </si>
  <si>
    <r>
      <rPr>
        <sz val="10"/>
        <rFont val="Noto Sans CJK SC"/>
        <family val="2"/>
      </rPr>
      <t xml:space="preserve">외부 제출마감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</si>
  <si>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9/3(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 11:00 </t>
    </r>
    <r>
      <rPr>
        <sz val="10"/>
        <rFont val="Noto Sans CJK SC"/>
        <family val="2"/>
      </rPr>
      <t xml:space="preserve">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필수포함</t>
    </r>
    <r>
      <rPr>
        <sz val="10"/>
        <rFont val="Arial"/>
        <family val="0"/>
        <charset val="1"/>
      </rPr>
      <t xml:space="preserve">) / 10/10 </t>
    </r>
    <r>
      <rPr>
        <sz val="10"/>
        <rFont val="Noto Sans CJK SC"/>
        <family val="2"/>
      </rPr>
      <t xml:space="preserve">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제출</t>
    </r>
  </si>
  <si>
    <r>
      <rPr>
        <sz val="10"/>
        <rFont val="Arial"/>
        <family val="0"/>
        <charset val="1"/>
      </rPr>
      <t xml:space="preserve">9/3</t>
    </r>
    <r>
      <rPr>
        <sz val="10"/>
        <rFont val="Noto Sans CJK SC"/>
        <family val="2"/>
      </rPr>
      <t xml:space="preserve">은 개발 착수 초반이라 기존 대화내용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을 취합하는 수준으로 대응</t>
    </r>
  </si>
  <si>
    <r>
      <rPr>
        <sz val="10"/>
        <rFont val="Noto Sans CJK SC"/>
        <family val="2"/>
      </rPr>
      <t xml:space="preserve">인프라 제공현황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</si>
  <si>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Azure Cloud(</t>
    </r>
    <r>
      <rPr>
        <sz val="10"/>
        <rFont val="Noto Sans CJK SC"/>
        <family val="2"/>
      </rPr>
      <t xml:space="preserve">확인 완료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 / Gemini Advanced(</t>
    </r>
    <r>
      <rPr>
        <sz val="10"/>
        <rFont val="Noto Sans CJK SC"/>
        <family val="2"/>
      </rPr>
      <t xml:space="preserve">개인 구독</t>
    </r>
    <r>
      <rPr>
        <sz val="10"/>
        <rFont val="Arial"/>
        <family val="0"/>
        <charset val="1"/>
      </rPr>
      <t xml:space="preserve">, API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 / 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 확보</t>
    </r>
    <r>
      <rPr>
        <sz val="10"/>
        <rFont val="Arial"/>
        <family val="0"/>
        <charset val="1"/>
      </rPr>
      <t xml:space="preserve">, Claude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) / HuggingFace </t>
    </r>
    <r>
      <rPr>
        <sz val="10"/>
        <rFont val="Noto Sans CJK SC"/>
        <family val="2"/>
      </rPr>
      <t xml:space="preserve">조직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무료 로컬 임베딩과 부합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</si>
  <si>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LLM=Claude API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</t>
    </r>
    <r>
      <rPr>
        <sz val="10"/>
        <rFont val="Arial"/>
        <family val="0"/>
        <charset val="1"/>
      </rPr>
      <t xml:space="preserve">=Azure </t>
    </r>
    <r>
      <rPr>
        <sz val="10"/>
        <rFont val="Noto Sans CJK SC"/>
        <family val="2"/>
      </rPr>
      <t xml:space="preserve">전환 없이 </t>
    </r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그대로 확정</t>
    </r>
  </si>
  <si>
    <t xml:space="preserve">배포 최종확정</t>
  </si>
  <si>
    <r>
      <rPr>
        <sz val="10"/>
        <rFont val="Arial"/>
        <family val="0"/>
        <charset val="1"/>
      </rPr>
      <t xml:space="preserve">Vercel(</t>
    </r>
    <r>
      <rPr>
        <sz val="10"/>
        <rFont val="Noto Sans CJK SC"/>
        <family val="2"/>
      </rPr>
      <t xml:space="preserve">프론트</t>
    </r>
    <r>
      <rPr>
        <sz val="10"/>
        <rFont val="Arial"/>
        <family val="0"/>
        <charset val="1"/>
      </rPr>
      <t xml:space="preserve">)+Render(</t>
    </r>
    <r>
      <rPr>
        <sz val="10"/>
        <rFont val="Noto Sans CJK SC"/>
        <family val="2"/>
      </rPr>
      <t xml:space="preserve">백엔드</t>
    </r>
    <r>
      <rPr>
        <sz val="10"/>
        <rFont val="Arial"/>
        <family val="0"/>
        <charset val="1"/>
      </rPr>
      <t xml:space="preserve">, Hobby </t>
    </r>
    <r>
      <rPr>
        <sz val="10"/>
        <rFont val="Noto Sans CJK SC"/>
        <family val="2"/>
      </rPr>
      <t xml:space="preserve">무료플랜</t>
    </r>
    <r>
      <rPr>
        <sz val="10"/>
        <rFont val="Arial"/>
        <family val="0"/>
        <charset val="1"/>
      </rPr>
      <t xml:space="preserve">)+Supabase(DB) </t>
    </r>
    <r>
      <rPr>
        <sz val="10"/>
        <rFont val="Noto Sans CJK SC"/>
        <family val="2"/>
      </rPr>
      <t xml:space="preserve">그대로 확정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</si>
  <si>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워크스페이스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사용하므로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DB 30</t>
    </r>
    <r>
      <rPr>
        <sz val="10"/>
        <rFont val="Noto Sans CJK SC"/>
        <family val="2"/>
      </rPr>
      <t xml:space="preserve">일만료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함정 해당없음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통합</t>
    </r>
    <r>
      <rPr>
        <sz val="10"/>
        <rFont val="Arial"/>
        <family val="0"/>
        <charset val="1"/>
      </rPr>
      <t xml:space="preserve">(10/1</t>
    </r>
    <r>
      <rPr>
        <sz val="10"/>
        <rFont val="Noto Sans CJK SC"/>
        <family val="2"/>
      </rPr>
      <t xml:space="preserve">생성→</t>
    </r>
    <r>
      <rPr>
        <sz val="10"/>
        <rFont val="Arial"/>
        <family val="0"/>
        <charset val="1"/>
      </rPr>
      <t xml:space="preserve">10/8 </t>
    </r>
    <r>
      <rPr>
        <sz val="10"/>
        <rFont val="Noto Sans CJK SC"/>
        <family val="2"/>
      </rPr>
      <t xml:space="preserve">그대로 승격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내 안전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</si>
  <si>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아키텍처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비용통제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</si>
  <si>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로컬벡터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동시반환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</si>
  <si>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실패시 최대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재시도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). retry×step </t>
    </r>
    <r>
      <rPr>
        <sz val="10"/>
        <rFont val="Noto Sans CJK SC"/>
        <family val="2"/>
      </rPr>
      <t xml:space="preserve">곱연산 폭주 방지가 핵심</t>
    </r>
  </si>
  <si>
    <r>
      <rPr>
        <sz val="10"/>
        <rFont val="Noto Sans CJK SC"/>
        <family val="2"/>
      </rPr>
      <t xml:space="preserve">비용 안전장치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</si>
  <si>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①Spend Limit $10 ②</t>
    </r>
    <r>
      <rPr>
        <sz val="10"/>
        <rFont val="Noto Sans CJK SC"/>
        <family val="2"/>
      </rPr>
      <t xml:space="preserve">재시도상한 ③</t>
    </r>
    <r>
      <rPr>
        <sz val="10"/>
        <rFont val="Arial"/>
        <family val="0"/>
        <charset val="1"/>
      </rPr>
      <t xml:space="preserve">Timeout10</t>
    </r>
    <r>
      <rPr>
        <sz val="10"/>
        <rFont val="Noto Sans CJK SC"/>
        <family val="2"/>
      </rPr>
      <t xml:space="preserve">초 ④</t>
    </r>
    <r>
      <rPr>
        <sz val="10"/>
        <rFont val="Arial"/>
        <family val="0"/>
        <charset val="1"/>
      </rPr>
      <t xml:space="preserve">MAX_AGENT_STEPS ⑤</t>
    </r>
    <r>
      <rPr>
        <sz val="10"/>
        <rFont val="Noto Sans CJK SC"/>
        <family val="2"/>
      </rPr>
      <t xml:space="preserve">엔드포인트</t>
    </r>
    <r>
      <rPr>
        <sz val="10"/>
        <rFont val="Arial"/>
        <family val="0"/>
        <charset val="1"/>
      </rPr>
      <t xml:space="preserve">Rate Limit ⑥RAG Top-K</t>
    </r>
    <r>
      <rPr>
        <sz val="10"/>
        <rFont val="Noto Sans CJK SC"/>
        <family val="2"/>
      </rPr>
      <t xml:space="preserve">제한 ⑦개발용 응답캐시 ⑧사용량로깅 ⑨</t>
    </r>
    <r>
      <rPr>
        <sz val="10"/>
        <rFont val="Arial"/>
        <family val="0"/>
        <charset val="1"/>
      </rPr>
      <t xml:space="preserve">Dev/Prod</t>
    </r>
    <r>
      <rPr>
        <sz val="10"/>
        <rFont val="Noto Sans CJK SC"/>
        <family val="2"/>
      </rPr>
      <t xml:space="preserve">키분리 ⑩문자 실발송 차단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데모때만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</si>
  <si>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doc22/23 </t>
    </r>
    <r>
      <rPr>
        <sz val="10"/>
        <rFont val="Noto Sans CJK SC"/>
        <family val="2"/>
      </rPr>
      <t xml:space="preserve">교차검증 결과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개→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개로 확장</t>
    </r>
  </si>
  <si>
    <r>
      <rPr>
        <sz val="10"/>
        <rFont val="Noto Sans CJK SC"/>
        <family val="2"/>
      </rPr>
      <t xml:space="preserve">예상 비용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참고치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</si>
  <si>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개발</t>
    </r>
    <r>
      <rPr>
        <sz val="10"/>
        <rFont val="Arial"/>
        <family val="0"/>
        <charset val="1"/>
      </rPr>
      <t xml:space="preserve">~</t>
    </r>
    <r>
      <rPr>
        <sz val="10"/>
        <rFont val="Noto Sans CJK SC"/>
        <family val="2"/>
      </rPr>
      <t xml:space="preserve">데모 전체 약 </t>
    </r>
    <r>
      <rPr>
        <sz val="10"/>
        <rFont val="Arial"/>
        <family val="0"/>
        <charset val="1"/>
      </rPr>
      <t xml:space="preserve">$15~$100 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추정치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실측 필요</t>
    </r>
    <r>
      <rPr>
        <sz val="10"/>
        <rFont val="Arial"/>
        <family val="0"/>
        <charset val="1"/>
      </rPr>
      <t xml:space="preserve">) — </t>
    </r>
    <r>
      <rPr>
        <sz val="10"/>
        <rFont val="Noto Sans CJK SC"/>
        <family val="2"/>
      </rPr>
      <t xml:space="preserve">프로젝트를 무너뜨릴 수준 아님</t>
    </r>
  </si>
  <si>
    <r>
      <rPr>
        <sz val="10"/>
        <rFont val="Noto Sans CJK SC"/>
        <family val="2"/>
      </rPr>
      <t xml:space="preserve">실제 개발착수 후 </t>
    </r>
    <r>
      <rPr>
        <sz val="10"/>
        <rFont val="Arial"/>
        <family val="0"/>
        <charset val="1"/>
      </rPr>
      <t xml:space="preserve">50~100</t>
    </r>
    <r>
      <rPr>
        <sz val="10"/>
        <rFont val="Noto Sans CJK SC"/>
        <family val="2"/>
      </rPr>
      <t xml:space="preserve">건 실측하여 재계산 권장</t>
    </r>
    <r>
      <rPr>
        <sz val="10"/>
        <rFont val="Arial"/>
        <family val="0"/>
        <charset val="1"/>
      </rPr>
      <t xml:space="preserve">. Claude Pro/Google AI Pro </t>
    </r>
    <r>
      <rPr>
        <sz val="10"/>
        <rFont val="Noto Sans CJK SC"/>
        <family val="2"/>
      </rPr>
      <t xml:space="preserve">구독은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비용과 별개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개발도구용</t>
    </r>
    <r>
      <rPr>
        <sz val="10"/>
        <rFont val="Arial"/>
        <family val="0"/>
        <charset val="1"/>
      </rPr>
      <t xml:space="preserve">)</t>
    </r>
  </si>
  <si>
    <r>
      <rPr>
        <b val="true"/>
        <sz val="12"/>
        <color rgb="FF1F4E78"/>
        <rFont val="Arial"/>
        <family val="0"/>
        <charset val="1"/>
      </rPr>
      <t xml:space="preserve">Action Center </t>
    </r>
    <r>
      <rPr>
        <b val="true"/>
        <sz val="12"/>
        <color rgb="FF1F4E78"/>
        <rFont val="Noto Sans CJK SC"/>
        <family val="2"/>
      </rPr>
      <t xml:space="preserve">규칙표</t>
    </r>
  </si>
  <si>
    <t xml:space="preserve">분류</t>
  </si>
  <si>
    <t xml:space="preserve">트리거 조건</t>
  </si>
  <si>
    <t xml:space="preserve">성격</t>
  </si>
  <si>
    <t xml:space="preserve">🔴 지금 처리 필요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</si>
  <si>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고위험 승인대기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시간전 청소 미완료</t>
    </r>
  </si>
  <si>
    <t xml:space="preserve">시스템 즉각 개입</t>
  </si>
  <si>
    <t xml:space="preserve">🟡 오늘 확인</t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</si>
  <si>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신고 </t>
    </r>
    <r>
      <rPr>
        <sz val="10"/>
        <rFont val="Arial"/>
        <family val="0"/>
        <charset val="1"/>
      </rPr>
      <t xml:space="preserve">D-30 / </t>
    </r>
    <r>
      <rPr>
        <sz val="10"/>
        <rFont val="Noto Sans CJK SC"/>
        <family val="2"/>
      </rPr>
      <t xml:space="preserve">청소 비품부족 플래그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신규예약 정산검토 대기</t>
    </r>
  </si>
  <si>
    <t xml:space="preserve">당일 업무 큐</t>
  </si>
  <si>
    <t xml:space="preserve">🟢 자동 처리</t>
  </si>
  <si>
    <r>
      <rPr>
        <sz val="10"/>
        <rFont val="Noto Sans CJK SC"/>
        <family val="2"/>
      </rPr>
      <t xml:space="preserve">저위험 자동응답 발송완료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청소완료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비번전송 완료</t>
    </r>
  </si>
  <si>
    <t xml:space="preserve">사후 모니터링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</si>
  <si>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진행현황 요약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, 8/31 </t>
    </r>
    <r>
      <rPr>
        <b val="true"/>
        <sz val="16"/>
        <color rgb="FF1F4E78"/>
        <rFont val="Noto Sans CJK SC"/>
        <family val="2"/>
      </rPr>
      <t xml:space="preserve">개발착수 → </t>
    </r>
    <r>
      <rPr>
        <b val="true"/>
        <sz val="16"/>
        <color rgb="FF1F4E78"/>
        <rFont val="Arial"/>
        <family val="0"/>
        <charset val="1"/>
      </rPr>
      <t xml:space="preserve">10/10 </t>
    </r>
    <r>
      <rPr>
        <b val="true"/>
        <sz val="16"/>
        <color rgb="FF1F4E78"/>
        <rFont val="Noto Sans CJK SC"/>
        <family val="2"/>
      </rPr>
      <t xml:space="preserve">완료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</si>
  <si>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카테고리</t>
  </si>
  <si>
    <r>
      <rPr>
        <b val="true"/>
        <sz val="11"/>
        <color rgb="FFFFFFFF"/>
        <rFont val="Noto Sans CJK SC"/>
        <family val="2"/>
      </rPr>
      <t xml:space="preserve">일정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~</t>
    </r>
    <r>
      <rPr>
        <b val="true"/>
        <sz val="11"/>
        <color rgb="FFFFFFFF"/>
        <rFont val="Noto Sans CJK SC"/>
        <family val="2"/>
      </rPr>
      <t xml:space="preserve">종료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</si>
  <si>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전체</t>
  </si>
  <si>
    <t xml:space="preserve">완료</t>
  </si>
  <si>
    <t xml:space="preserve">진행중</t>
  </si>
  <si>
    <t xml:space="preserve">완료율</t>
  </si>
  <si>
    <r>
      <rPr>
        <sz val="11"/>
        <rFont val="Noto Sans CJK SC"/>
        <family val="2"/>
      </rPr>
      <t xml:space="preserve">데이터모델 설계</t>
    </r>
    <r>
      <rPr>
        <sz val="11"/>
        <rFont val="Arial"/>
        <family val="0"/>
        <charset val="1"/>
      </rPr>
      <t xml:space="preserve">(P0)</t>
    </r>
  </si>
  <si>
    <t xml:space="preserve">2026-08-31 ~ 2026-09-04</t>
  </si>
  <si>
    <r>
      <rPr>
        <sz val="11"/>
        <rFont val="Arial"/>
        <family val="0"/>
        <charset val="1"/>
      </rPr>
      <t xml:space="preserve">UI/UX </t>
    </r>
    <r>
      <rPr>
        <sz val="11"/>
        <rFont val="Noto Sans CJK SC"/>
        <family val="2"/>
      </rPr>
      <t xml:space="preserve">설계</t>
    </r>
  </si>
  <si>
    <t xml:space="preserve">2026-09-07 ~ 2026-09-09</t>
  </si>
  <si>
    <t xml:space="preserve">기반 인프라</t>
  </si>
  <si>
    <t xml:space="preserve">2026-09-05 ~ 2026-09-18</t>
  </si>
  <si>
    <t xml:space="preserve">고객 응대 자동화</t>
  </si>
  <si>
    <t xml:space="preserve">2026-09-17 ~ 2026-09-28</t>
  </si>
  <si>
    <t xml:space="preserve">비대면 체크인</t>
  </si>
  <si>
    <t xml:space="preserve">2026-09-29 ~ 2026-09-30</t>
  </si>
  <si>
    <r>
      <rPr>
        <sz val="11"/>
        <rFont val="Noto Sans CJK SC"/>
        <family val="2"/>
      </rPr>
      <t xml:space="preserve">청소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시설 관리</t>
    </r>
  </si>
  <si>
    <t xml:space="preserve">2026-09-28 ~ 2026-10-03</t>
  </si>
  <si>
    <t xml:space="preserve">정산 리포트</t>
  </si>
  <si>
    <t xml:space="preserve">2026-10-02 ~ 2026-10-06</t>
  </si>
  <si>
    <t xml:space="preserve">동적 가격 책정</t>
  </si>
  <si>
    <t xml:space="preserve">2026-10-05 ~ 2026-10-07</t>
  </si>
  <si>
    <r>
      <rPr>
        <sz val="11"/>
        <rFont val="Noto Sans CJK SC"/>
        <family val="2"/>
      </rPr>
      <t xml:space="preserve">알림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액션센터</t>
    </r>
  </si>
  <si>
    <t xml:space="preserve">2026-10-06 ~ 2026-10-06</t>
  </si>
  <si>
    <t xml:space="preserve">컴플라이언스</t>
  </si>
  <si>
    <t xml:space="preserve">2026-10-01 ~ 2026-10-07</t>
  </si>
  <si>
    <r>
      <rPr>
        <sz val="11"/>
        <rFont val="Noto Sans CJK SC"/>
        <family val="2"/>
      </rPr>
      <t xml:space="preserve">통합</t>
    </r>
    <r>
      <rPr>
        <sz val="11"/>
        <rFont val="Arial"/>
        <family val="0"/>
        <charset val="1"/>
      </rPr>
      <t xml:space="preserve">QA·</t>
    </r>
    <r>
      <rPr>
        <sz val="11"/>
        <rFont val="Noto Sans CJK SC"/>
        <family val="2"/>
      </rPr>
      <t xml:space="preserve">보안</t>
    </r>
  </si>
  <si>
    <t xml:space="preserve">2026-10-08 ~ 2026-10-09</t>
  </si>
  <si>
    <t xml:space="preserve">마무리</t>
  </si>
  <si>
    <t xml:space="preserve">2026-09-05 ~ 2026-10-10</t>
  </si>
  <si>
    <t xml:space="preserve">최종 데모검증</t>
  </si>
  <si>
    <t xml:space="preserve">2026-10-11 ~ 2026-10-11</t>
  </si>
  <si>
    <t xml:space="preserve">전체 합계</t>
  </si>
  <si>
    <t xml:space="preserve">2026-08-31 ~ 2026-10-11</t>
  </si>
  <si>
    <t xml:space="preserve">개발 착수일</t>
  </si>
  <si>
    <r>
      <rPr>
        <sz val="11"/>
        <color theme="1"/>
        <rFont val="Calibri"/>
        <family val="2"/>
        <charset val="1"/>
      </rPr>
      <t xml:space="preserve">2026-08-31(</t>
    </r>
    <r>
      <rPr>
        <sz val="11"/>
        <color theme="1"/>
        <rFont val="Noto Sans CJK SC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)</t>
    </r>
  </si>
  <si>
    <t xml:space="preserve">제출 마감일</t>
  </si>
  <si>
    <t xml:space="preserve">2026-10-10</t>
  </si>
  <si>
    <t xml:space="preserve">오늘 날짜</t>
  </si>
  <si>
    <r>
      <rPr>
        <b val="true"/>
        <sz val="11"/>
        <rFont val="Arial"/>
        <family val="0"/>
        <charset val="1"/>
      </rPr>
      <t xml:space="preserve">D-day(</t>
    </r>
    <r>
      <rPr>
        <b val="true"/>
        <sz val="11"/>
        <rFont val="Noto Sans CJK SC"/>
        <family val="2"/>
      </rPr>
      <t xml:space="preserve">제출까지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</si>
  <si>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2"/>
        <color rgb="FF1F4E78"/>
        <rFont val="Noto Sans CJK SC"/>
        <family val="2"/>
      </rPr>
      <t xml:space="preserve">★ 실제 진행률 </t>
    </r>
    <r>
      <rPr>
        <b val="true"/>
        <sz val="12"/>
        <color rgb="FF1F4E78"/>
        <rFont val="Arial"/>
        <family val="0"/>
        <charset val="1"/>
      </rPr>
      <t xml:space="preserve">(</t>
    </r>
    <r>
      <rPr>
        <b val="true"/>
        <sz val="12"/>
        <color rgb="FF1F4E78"/>
        <rFont val="Noto Sans CJK SC"/>
        <family val="2"/>
      </rPr>
      <t xml:space="preserve">일일 크로스체크 ☑ 기준</t>
    </r>
    <r>
      <rPr>
        <b val="true"/>
        <sz val="12"/>
        <color rgb="FF1F4E78"/>
        <rFont val="Arial"/>
        <family val="0"/>
        <charset val="1"/>
      </rPr>
      <t xml:space="preserve">)</t>
    </r>
  </si>
  <si>
    <t xml:space="preserve">완료 개수</t>
  </si>
  <si>
    <t xml:space="preserve">전체 개수</t>
  </si>
  <si>
    <t xml:space="preserve">실제 완료율</t>
  </si>
  <si>
    <r>
      <rPr>
        <i val="true"/>
        <sz val="9"/>
        <color rgb="FFC00000"/>
        <rFont val="Noto Sans CJK SC"/>
        <family val="2"/>
      </rPr>
      <t xml:space="preserve">⚠ 참고</t>
    </r>
    <r>
      <rPr>
        <i val="true"/>
        <sz val="9"/>
        <color rgb="FFC00000"/>
        <rFont val="Arial"/>
        <family val="0"/>
        <charset val="1"/>
      </rPr>
      <t xml:space="preserve">: </t>
    </r>
    <r>
      <rPr>
        <i val="true"/>
        <sz val="9"/>
        <color rgb="FFC00000"/>
        <rFont val="Noto Sans CJK SC"/>
        <family val="2"/>
      </rPr>
      <t xml:space="preserve">위 카테고리별 표</t>
    </r>
    <r>
      <rPr>
        <i val="true"/>
        <sz val="9"/>
        <color rgb="FFC00000"/>
        <rFont val="Arial"/>
        <family val="0"/>
        <charset val="1"/>
      </rPr>
      <t xml:space="preserve">(</t>
    </r>
    <r>
      <rPr>
        <i val="true"/>
        <sz val="9"/>
        <color rgb="FFC00000"/>
        <rFont val="Noto Sans CJK SC"/>
        <family val="2"/>
      </rPr>
      <t xml:space="preserve">완료</t>
    </r>
    <r>
      <rPr>
        <i val="true"/>
        <sz val="9"/>
        <color rgb="FFC00000"/>
        <rFont val="Arial"/>
        <family val="0"/>
        <charset val="1"/>
      </rPr>
      <t xml:space="preserve">/</t>
    </r>
    <r>
      <rPr>
        <i val="true"/>
        <sz val="9"/>
        <color rgb="FFC00000"/>
        <rFont val="Noto Sans CJK SC"/>
        <family val="2"/>
      </rPr>
      <t xml:space="preserve">진행중 열</t>
    </r>
    <r>
      <rPr>
        <i val="true"/>
        <sz val="9"/>
        <color rgb="FFC00000"/>
        <rFont val="Arial"/>
        <family val="0"/>
        <charset val="1"/>
      </rPr>
      <t xml:space="preserve">)</t>
    </r>
    <r>
      <rPr>
        <i val="true"/>
        <sz val="9"/>
        <color rgb="FFC00000"/>
        <rFont val="Noto Sans CJK SC"/>
        <family val="2"/>
      </rPr>
      <t xml:space="preserve">는 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체크리스트</t>
    </r>
    <r>
      <rPr>
        <i val="true"/>
        <sz val="9"/>
        <color rgb="FFC00000"/>
        <rFont val="Arial"/>
        <family val="0"/>
        <charset val="1"/>
      </rPr>
      <t xml:space="preserve">' </t>
    </r>
    <r>
      <rPr>
        <i val="true"/>
        <sz val="9"/>
        <color rgb="FFC00000"/>
        <rFont val="Noto Sans CJK SC"/>
        <family val="2"/>
      </rPr>
      <t xml:space="preserve">시트의 상태값을 세는 것이라 별개입니다</t>
    </r>
    <r>
      <rPr>
        <i val="true"/>
        <sz val="9"/>
        <color rgb="FFC00000"/>
        <rFont val="Arial"/>
        <family val="0"/>
        <charset val="1"/>
      </rPr>
      <t xml:space="preserve">. </t>
    </r>
    <r>
      <rPr>
        <i val="true"/>
        <sz val="9"/>
        <color rgb="FFC00000"/>
        <rFont val="Noto Sans CJK SC"/>
        <family val="2"/>
      </rPr>
      <t xml:space="preserve">매일 체크하시는 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일일 크로스체크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만 쓰신다면 이 박스가 실제 진행률입니다</t>
    </r>
    <r>
      <rPr>
        <i val="true"/>
        <sz val="9"/>
        <color rgb="FFC00000"/>
        <rFont val="Arial"/>
        <family val="0"/>
        <charset val="1"/>
      </rPr>
      <t xml:space="preserve">.</t>
    </r>
  </si>
  <si>
    <t xml:space="preserve">예정</t>
  </si>
  <si>
    <r>
      <rPr>
        <i val="true"/>
        <sz val="10"/>
        <rFont val="Noto Sans CJK SC"/>
        <family val="2"/>
      </rPr>
      <t xml:space="preserve">※ 노랑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차별화 </t>
    </r>
    <r>
      <rPr>
        <i val="true"/>
        <sz val="10"/>
        <rFont val="Arial"/>
        <family val="0"/>
        <charset val="1"/>
      </rPr>
      <t xml:space="preserve">/ </t>
    </r>
    <r>
      <rPr>
        <i val="true"/>
        <sz val="10"/>
        <rFont val="Noto Sans CJK SC"/>
        <family val="2"/>
      </rPr>
      <t xml:space="preserve">빨강</t>
    </r>
    <r>
      <rPr>
        <i val="true"/>
        <sz val="10"/>
        <rFont val="Arial"/>
        <family val="0"/>
        <charset val="1"/>
      </rPr>
      <t xml:space="preserve">=P0 / </t>
    </r>
    <r>
      <rPr>
        <i val="true"/>
        <sz val="10"/>
        <rFont val="Noto Sans CJK SC"/>
        <family val="2"/>
      </rPr>
      <t xml:space="preserve">보라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검증 </t>
    </r>
    <r>
      <rPr>
        <i val="true"/>
        <sz val="10"/>
        <rFont val="Arial"/>
        <family val="0"/>
        <charset val="1"/>
      </rPr>
      <t xml:space="preserve">/ </t>
    </r>
    <r>
      <rPr>
        <i val="true"/>
        <sz val="10"/>
        <rFont val="Noto Sans CJK SC"/>
        <family val="2"/>
      </rPr>
      <t xml:space="preserve">파랑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신규추가항목</t>
    </r>
  </si>
  <si>
    <r>
      <rPr>
        <i val="true"/>
        <sz val="10"/>
        <rFont val="Noto Sans CJK SC"/>
        <family val="2"/>
      </rPr>
      <t xml:space="preserve">※ 모든 작업의 담당은 본인</t>
    </r>
    <r>
      <rPr>
        <i val="true"/>
        <sz val="10"/>
        <rFont val="Arial"/>
        <family val="0"/>
        <charset val="1"/>
      </rPr>
      <t xml:space="preserve">. Claude Code=</t>
    </r>
    <r>
      <rPr>
        <i val="true"/>
        <sz val="10"/>
        <rFont val="Noto Sans CJK SC"/>
        <family val="2"/>
      </rPr>
      <t xml:space="preserve">코드구현 직접실행 </t>
    </r>
    <r>
      <rPr>
        <i val="true"/>
        <sz val="10"/>
        <rFont val="Arial"/>
        <family val="0"/>
        <charset val="1"/>
      </rPr>
      <t xml:space="preserve">/ Claude=</t>
    </r>
    <r>
      <rPr>
        <i val="true"/>
        <sz val="10"/>
        <rFont val="Noto Sans CJK SC"/>
        <family val="2"/>
      </rPr>
      <t xml:space="preserve">대화로 검토</t>
    </r>
    <r>
      <rPr>
        <i val="true"/>
        <sz val="10"/>
        <rFont val="Arial"/>
        <family val="0"/>
        <charset val="1"/>
      </rPr>
      <t xml:space="preserve">·</t>
    </r>
    <r>
      <rPr>
        <i val="true"/>
        <sz val="10"/>
        <rFont val="Noto Sans CJK SC"/>
        <family val="2"/>
      </rPr>
      <t xml:space="preserve">설계보조 </t>
    </r>
    <r>
      <rPr>
        <i val="true"/>
        <sz val="10"/>
        <rFont val="Arial"/>
        <family val="0"/>
        <charset val="1"/>
      </rPr>
      <t xml:space="preserve">/ Gemini=</t>
    </r>
    <r>
      <rPr>
        <i val="true"/>
        <sz val="10"/>
        <rFont val="Noto Sans CJK SC"/>
        <family val="2"/>
      </rPr>
      <t xml:space="preserve">콘텐츠초안</t>
    </r>
    <r>
      <rPr>
        <i val="true"/>
        <sz val="10"/>
        <rFont val="Arial"/>
        <family val="0"/>
        <charset val="1"/>
      </rPr>
      <t xml:space="preserve">·</t>
    </r>
    <r>
      <rPr>
        <i val="true"/>
        <sz val="10"/>
        <rFont val="Noto Sans CJK SC"/>
        <family val="2"/>
      </rPr>
      <t xml:space="preserve">교차검증보조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도구일 뿐</t>
    </r>
    <r>
      <rPr>
        <i val="true"/>
        <sz val="10"/>
        <rFont val="Arial"/>
        <family val="0"/>
        <charset val="1"/>
      </rPr>
      <t xml:space="preserve">, </t>
    </r>
    <r>
      <rPr>
        <i val="true"/>
        <sz val="10"/>
        <rFont val="Noto Sans CJK SC"/>
        <family val="2"/>
      </rPr>
      <t xml:space="preserve">최종 의사결정은 본인</t>
    </r>
    <r>
      <rPr>
        <i val="true"/>
        <sz val="10"/>
        <rFont val="Arial"/>
        <family val="0"/>
        <charset val="1"/>
      </rPr>
      <t xml:space="preserve">)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</si>
  <si>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상세 체크리스트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: 1,1.5,2,3,4,5,5.5,6,6.5)</t>
    </r>
  </si>
  <si>
    <t xml:space="preserve">단계</t>
  </si>
  <si>
    <t xml:space="preserve">세부 작업</t>
  </si>
  <si>
    <t xml:space="preserve">우선순위</t>
  </si>
  <si>
    <t xml:space="preserve">상태</t>
  </si>
  <si>
    <r>
      <rPr>
        <b val="true"/>
        <sz val="11"/>
        <color rgb="FFFFFFFF"/>
        <rFont val="Noto Sans CJK SC"/>
        <family val="2"/>
      </rPr>
      <t xml:space="preserve">담당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활용도구</t>
    </r>
  </si>
  <si>
    <r>
      <rPr>
        <b val="true"/>
        <sz val="11"/>
        <color rgb="FFFFFFFF"/>
        <rFont val="Noto Sans CJK SC"/>
        <family val="2"/>
      </rPr>
      <t xml:space="preserve">날짜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요일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</si>
  <si>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1</t>
  </si>
  <si>
    <r>
      <rPr>
        <sz val="10"/>
        <rFont val="Noto Sans CJK SC"/>
        <family val="2"/>
      </rPr>
      <t xml:space="preserve">데이터모델 설계</t>
    </r>
    <r>
      <rPr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</si>
  <si>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Host-Property-Room-Bed </t>
    </r>
    <r>
      <rPr>
        <sz val="10"/>
        <rFont val="Noto Sans CJK SC"/>
        <family val="2"/>
      </rPr>
      <t xml:space="preserve">계층 스키마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</si>
  <si>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최상</t>
  </si>
  <si>
    <r>
      <rPr>
        <i val="true"/>
        <sz val="10"/>
        <color rgb="FF674EA7"/>
        <rFont val="Noto Sans CJK SC"/>
        <family val="2"/>
      </rPr>
      <t xml:space="preserve">본인 — </t>
    </r>
    <r>
      <rPr>
        <i val="true"/>
        <sz val="10"/>
        <color rgb="FF674EA7"/>
        <rFont val="Arial"/>
        <family val="0"/>
        <charset val="1"/>
      </rPr>
      <t xml:space="preserve">Gemini(</t>
    </r>
    <r>
      <rPr>
        <i val="true"/>
        <sz val="10"/>
        <color rgb="FF674EA7"/>
        <rFont val="Noto Sans CJK SC"/>
        <family val="2"/>
      </rPr>
      <t xml:space="preserve">검토</t>
    </r>
    <r>
      <rPr>
        <i val="true"/>
        <sz val="10"/>
        <color rgb="FF674EA7"/>
        <rFont val="Arial"/>
        <family val="0"/>
        <charset val="1"/>
      </rPr>
      <t xml:space="preserve">·</t>
    </r>
    <r>
      <rPr>
        <i val="true"/>
        <sz val="10"/>
        <color rgb="FF674EA7"/>
        <rFont val="Noto Sans CJK SC"/>
        <family val="2"/>
      </rPr>
      <t xml:space="preserve">콘텐츠 초안 보조</t>
    </r>
    <r>
      <rPr>
        <i val="true"/>
        <sz val="10"/>
        <color rgb="FF674EA7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</si>
  <si>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2026-08-31(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</si>
  <si>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P0</t>
  </si>
  <si>
    <r>
      <rPr>
        <sz val="10"/>
        <rFont val="Arial"/>
        <family val="0"/>
        <charset val="1"/>
      </rPr>
      <t xml:space="preserve">STEP0: DB</t>
    </r>
    <r>
      <rPr>
        <sz val="10"/>
        <rFont val="Noto Sans CJK SC"/>
        <family val="2"/>
      </rPr>
      <t xml:space="preserve">명세서</t>
    </r>
    <r>
      <rPr>
        <sz val="10"/>
        <rFont val="Arial"/>
        <family val="0"/>
        <charset val="1"/>
      </rPr>
      <t xml:space="preserve">v1(3rd_host_ai_db_spec_v1.md)</t>
    </r>
    <r>
      <rPr>
        <sz val="10"/>
        <rFont val="Noto Sans CJK SC"/>
        <family val="2"/>
      </rPr>
      <t xml:space="preserve">을 스키마 최종권위 문서로 확정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구버전 </t>
    </r>
    <r>
      <rPr>
        <sz val="10"/>
        <rFont val="Arial"/>
        <family val="0"/>
        <charset val="1"/>
      </rPr>
      <t xml:space="preserve">ERD(guests/payments </t>
    </r>
    <r>
      <rPr>
        <sz val="10"/>
        <rFont val="Noto Sans CJK SC"/>
        <family val="2"/>
      </rPr>
      <t xml:space="preserve">등 포함 폐기 초안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폐기처리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</si>
  <si>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Claude(</t>
    </r>
    <r>
      <rPr>
        <sz val="10"/>
        <rFont val="Noto Sans CJK SC"/>
        <family val="2"/>
      </rPr>
      <t xml:space="preserve">대화로 검토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설계 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</si>
  <si>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문서기준선</t>
    </r>
    <r>
      <rPr>
        <sz val="10"/>
        <rFont val="Arial"/>
        <family val="0"/>
        <charset val="1"/>
      </rPr>
      <t xml:space="preserve">(SSOT) </t>
    </r>
    <r>
      <rPr>
        <sz val="10"/>
        <rFont val="Noto Sans CJK SC"/>
        <family val="2"/>
      </rPr>
      <t xml:space="preserve">확정</t>
    </r>
  </si>
  <si>
    <r>
      <rPr>
        <sz val="10"/>
        <rFont val="Arial"/>
        <family val="0"/>
        <charset val="1"/>
      </rPr>
      <t xml:space="preserve">Property.accommodation_type 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ENUM </t>
    </r>
    <r>
      <rPr>
        <sz val="10"/>
        <rFont val="Noto Sans CJK SC"/>
        <family val="2"/>
      </rPr>
      <t xml:space="preserve">필드 확정</t>
    </r>
  </si>
  <si>
    <r>
      <rPr>
        <sz val="10"/>
        <rFont val="Arial"/>
        <family val="0"/>
        <charset val="1"/>
      </rPr>
      <t xml:space="preserve">Reservation.bookable_unit_type(PROPERTY/ROOM/BED) </t>
    </r>
    <r>
      <rPr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</si>
  <si>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2026-09-01(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</si>
  <si>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예약시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로직 정의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실제케이스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</si>
  <si>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reservation_status / refund_status </t>
    </r>
    <r>
      <rPr>
        <sz val="10"/>
        <rFont val="Noto Sans CJK SC"/>
        <family val="2"/>
      </rPr>
      <t xml:space="preserve">분리 설계</t>
    </r>
  </si>
  <si>
    <r>
      <rPr>
        <sz val="10"/>
        <rFont val="Arial"/>
        <family val="0"/>
        <charset val="1"/>
      </rPr>
      <t xml:space="preserve">Reservation CHECK </t>
    </r>
    <r>
      <rPr>
        <sz val="10"/>
        <rFont val="Noto Sans CJK SC"/>
        <family val="2"/>
      </rPr>
      <t xml:space="preserve">제약</t>
    </r>
    <r>
      <rPr>
        <sz val="10"/>
        <rFont val="Arial"/>
        <family val="0"/>
        <charset val="1"/>
      </rPr>
      <t xml:space="preserve">(bookable_unit_type↔room_id/bed_id </t>
    </r>
    <r>
      <rPr>
        <sz val="10"/>
        <rFont val="Noto Sans CJK SC"/>
        <family val="2"/>
      </rPr>
      <t xml:space="preserve">조합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</si>
  <si>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절 참고</t>
    </r>
  </si>
  <si>
    <r>
      <rPr>
        <sz val="10"/>
        <rFont val="Arial"/>
        <family val="0"/>
        <charset val="1"/>
      </rPr>
      <t xml:space="preserve">ROOMS/BEDS </t>
    </r>
    <r>
      <rPr>
        <sz val="10"/>
        <rFont val="Noto Sans CJK SC"/>
        <family val="2"/>
      </rPr>
      <t xml:space="preserve">계층 복합</t>
    </r>
    <r>
      <rPr>
        <sz val="10"/>
        <rFont val="Arial"/>
        <family val="0"/>
        <charset val="1"/>
      </rPr>
      <t xml:space="preserve">FK+UNIQUE + Reservation↔Channel/Room/Bed </t>
    </r>
    <r>
      <rPr>
        <sz val="10"/>
        <rFont val="Noto Sans CJK SC"/>
        <family val="2"/>
      </rPr>
      <t xml:space="preserve">동일</t>
    </r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보장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통합확정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</si>
  <si>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2·6,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절 참고</t>
    </r>
  </si>
  <si>
    <r>
      <rPr>
        <sz val="10"/>
        <rFont val="Arial"/>
        <family val="0"/>
        <charset val="1"/>
      </rPr>
      <t xml:space="preserve">UNIQUE </t>
    </r>
    <r>
      <rPr>
        <sz val="10"/>
        <rFont val="Noto Sans CJK SC"/>
        <family val="2"/>
      </rPr>
      <t xml:space="preserve">복합제약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 확정</t>
    </r>
    <r>
      <rPr>
        <sz val="10"/>
        <rFont val="Arial"/>
        <family val="0"/>
        <charset val="1"/>
      </rPr>
      <t xml:space="preserve">(channel_connection_id+external_uid / property_id+target_month / property_id+channel)</t>
    </r>
  </si>
  <si>
    <t xml:space="preserve">상</t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</si>
  <si>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8, DB</t>
    </r>
    <r>
      <rPr>
        <sz val="10"/>
        <rFont val="Noto Sans CJK SC"/>
        <family val="2"/>
      </rPr>
      <t xml:space="preserve">명세서 참고</t>
    </r>
  </si>
  <si>
    <r>
      <rPr>
        <sz val="10"/>
        <rFont val="Arial"/>
        <family val="0"/>
        <charset val="1"/>
      </rPr>
      <t xml:space="preserve">INQUIRY_RESPONSES 1:N + is_latest </t>
    </r>
    <r>
      <rPr>
        <sz val="10"/>
        <rFont val="Noto Sans CJK SC"/>
        <family val="2"/>
      </rPr>
      <t xml:space="preserve">플래그 설계 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</si>
  <si>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7,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9/19</t>
    </r>
  </si>
  <si>
    <r>
      <rPr>
        <sz val="10"/>
        <rFont val="Arial"/>
        <family val="0"/>
        <charset val="1"/>
      </rPr>
      <t xml:space="preserve">FINANCIAL_CONFIGS→MONTHLY_SETTLEMENTS </t>
    </r>
    <r>
      <rPr>
        <sz val="10"/>
        <rFont val="Noto Sans CJK SC"/>
        <family val="2"/>
      </rPr>
      <t xml:space="preserve">관계 제거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스냅샷 분리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</si>
  <si>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9,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10/5</t>
    </r>
  </si>
  <si>
    <r>
      <rPr>
        <sz val="10"/>
        <rFont val="Noto Sans CJK SC"/>
        <family val="2"/>
      </rPr>
      <t xml:space="preserve">제출용 기획서 초안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— 기존 대화내용 취합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</si>
  <si>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  <r>
      <rPr>
        <sz val="10"/>
        <rFont val="Arial"/>
        <family val="0"/>
        <charset val="1"/>
      </rPr>
      <t xml:space="preserve">(9/3 11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</si>
  <si>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financial_status(ESTIMATED/CONFIRMED/MANUALLY_ADJUSTED) </t>
    </r>
    <r>
      <rPr>
        <sz val="10"/>
        <rFont val="Noto Sans CJK SC"/>
        <family val="2"/>
      </rPr>
      <t xml:space="preserve">필드 설계</t>
    </r>
  </si>
  <si>
    <r>
      <rPr>
        <sz val="10"/>
        <rFont val="Arial"/>
        <family val="0"/>
        <charset val="1"/>
      </rPr>
      <t xml:space="preserve">2026-09-02(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</si>
  <si>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날짜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종 분리 확정</t>
    </r>
    <r>
      <rPr>
        <sz val="10"/>
        <rFont val="Arial"/>
        <family val="0"/>
        <charset val="1"/>
      </rPr>
      <t xml:space="preserve">(booked_at/check_in/check_out/expected_settlement_at/actual_settlement_at)</t>
    </r>
  </si>
  <si>
    <r>
      <rPr>
        <sz val="10"/>
        <rFont val="Arial"/>
        <family val="0"/>
        <charset val="1"/>
      </rPr>
      <t xml:space="preserve">ChannelConnection </t>
    </r>
    <r>
      <rPr>
        <sz val="10"/>
        <rFont val="Noto Sans CJK SC"/>
        <family val="2"/>
      </rPr>
      <t xml:space="preserve">모델 설계</t>
    </r>
    <r>
      <rPr>
        <sz val="10"/>
        <rFont val="Arial"/>
        <family val="0"/>
        <charset val="1"/>
      </rPr>
      <t xml:space="preserve">(channel/external_property_id/sync_status/last_synced_at)</t>
    </r>
  </si>
  <si>
    <r>
      <rPr>
        <sz val="10"/>
        <rFont val="Arial"/>
        <family val="0"/>
        <charset val="1"/>
      </rPr>
      <t xml:space="preserve">ChecklistTemplate.renewal_trigger_type(NONE/EXPIRATION_BASED/EVENT_BASED) </t>
    </r>
    <r>
      <rPr>
        <sz val="10"/>
        <rFont val="Noto Sans CJK SC"/>
        <family val="2"/>
      </rPr>
      <t xml:space="preserve">필드 추가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</si>
  <si>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데이터 격리 원칙 확정</t>
    </r>
    <r>
      <rPr>
        <sz val="10"/>
        <rFont val="Arial"/>
        <family val="0"/>
        <charset val="1"/>
      </rPr>
      <t xml:space="preserve">(KB/Reservation/Checklist/SmartLock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</si>
  <si>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ACTION_ITEMS </t>
    </r>
    <r>
      <rPr>
        <sz val="10"/>
        <rFont val="Noto Sans CJK SC"/>
        <family val="2"/>
      </rPr>
      <t xml:space="preserve">중복생성 </t>
    </r>
    <r>
      <rPr>
        <sz val="10"/>
        <rFont val="Arial"/>
        <family val="0"/>
        <charset val="1"/>
      </rPr>
      <t xml:space="preserve">idempotency </t>
    </r>
    <r>
      <rPr>
        <sz val="10"/>
        <rFont val="Noto Sans CJK SC"/>
        <family val="2"/>
      </rPr>
      <t xml:space="preserve">정책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 </t>
    </r>
    <r>
      <rPr>
        <sz val="10"/>
        <rFont val="Arial"/>
        <family val="0"/>
        <charset val="1"/>
      </rPr>
      <t xml:space="preserve">reservation_id+category+OPEN </t>
    </r>
    <r>
      <rPr>
        <sz val="10"/>
        <rFont val="Noto Sans CJK SC"/>
        <family val="2"/>
      </rPr>
      <t xml:space="preserve">재사용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</si>
  <si>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10,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10/6</t>
    </r>
  </si>
  <si>
    <r>
      <rPr>
        <sz val="10"/>
        <rFont val="Arial"/>
        <family val="0"/>
        <charset val="1"/>
      </rPr>
      <t xml:space="preserve">risk_level '</t>
    </r>
    <r>
      <rPr>
        <sz val="10"/>
        <rFont val="Noto Sans CJK SC"/>
        <family val="2"/>
      </rPr>
      <t xml:space="preserve">규칙기반 우선순위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법적판단 아님 명시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</si>
  <si>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11</t>
    </r>
  </si>
  <si>
    <r>
      <rPr>
        <sz val="10"/>
        <rFont val="Noto Sans CJK SC"/>
        <family val="2"/>
      </rPr>
      <t xml:space="preserve">인덱스 요구사항 목록화</t>
    </r>
    <r>
      <rPr>
        <sz val="10"/>
        <rFont val="Arial"/>
        <family val="0"/>
        <charset val="1"/>
      </rPr>
      <t xml:space="preserve">(property_id </t>
    </r>
    <r>
      <rPr>
        <sz val="10"/>
        <rFont val="Noto Sans CJK SC"/>
        <family val="2"/>
      </rPr>
      <t xml:space="preserve">계열 전체</t>
    </r>
    <r>
      <rPr>
        <sz val="10"/>
        <rFont val="Arial"/>
        <family val="0"/>
        <charset val="1"/>
      </rPr>
      <t xml:space="preserve">+ActionCenter </t>
    </r>
    <r>
      <rPr>
        <sz val="10"/>
        <rFont val="Noto Sans CJK SC"/>
        <family val="2"/>
      </rPr>
      <t xml:space="preserve">복합인덱스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실제생성은 </t>
    </r>
    <r>
      <rPr>
        <sz val="10"/>
        <rFont val="Arial"/>
        <family val="0"/>
        <charset val="1"/>
      </rPr>
      <t xml:space="preserve">9/5)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</si>
  <si>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12</t>
    </r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</si>
  <si>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명세서↔</t>
    </r>
    <r>
      <rPr>
        <sz val="10"/>
        <rFont val="Arial"/>
        <family val="0"/>
        <charset val="1"/>
      </rPr>
      <t xml:space="preserve">ERD↔</t>
    </r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문서 최종 동기화 확인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</si>
  <si>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문서정합성 최종점검</t>
    </r>
  </si>
  <si>
    <t xml:space="preserve">기획서 최종 검토 및 다듬기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</si>
  <si>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</si>
  <si>
    <r>
      <rPr>
        <sz val="10"/>
        <rFont val="Arial"/>
        <family val="0"/>
        <charset val="1"/>
      </rPr>
      <t xml:space="preserve">Azure Cloud </t>
    </r>
    <r>
      <rPr>
        <sz val="10"/>
        <rFont val="Noto Sans CJK SC"/>
        <family val="2"/>
      </rPr>
      <t xml:space="preserve">서비스 확인 완료 →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로 최종 확정</t>
    </r>
    <r>
      <rPr>
        <sz val="10"/>
        <rFont val="Arial"/>
        <family val="0"/>
        <charset val="1"/>
      </rPr>
      <t xml:space="preserve">(Azure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</si>
  <si>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배포전략 확정</t>
    </r>
  </si>
  <si>
    <r>
      <rPr>
        <sz val="10"/>
        <rFont val="Arial"/>
        <family val="0"/>
        <charset val="1"/>
      </rPr>
      <t xml:space="preserve">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Gemini API</t>
    </r>
    <r>
      <rPr>
        <sz val="10"/>
        <rFont val="Noto Sans CJK SC"/>
        <family val="2"/>
      </rPr>
      <t xml:space="preserve">키 미리 발급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</t>
    </r>
    <r>
      <rPr>
        <sz val="10"/>
        <rFont val="Arial"/>
        <family val="0"/>
        <charset val="1"/>
      </rPr>
      <t xml:space="preserve">, 5</t>
    </r>
    <r>
      <rPr>
        <sz val="10"/>
        <rFont val="Noto Sans CJK SC"/>
        <family val="2"/>
      </rPr>
      <t xml:space="preserve">분 소요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스택변경 아님</t>
    </r>
    <r>
      <rPr>
        <sz val="10"/>
        <rFont val="Arial"/>
        <family val="0"/>
        <charset val="1"/>
      </rPr>
      <t xml:space="preserve">)</t>
    </r>
  </si>
  <si>
    <t xml:space="preserve">하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</si>
  <si>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보류결정이나 만일대비 확보</t>
    </r>
  </si>
  <si>
    <r>
      <rPr>
        <sz val="10"/>
        <rFont val="Noto Sans CJK SC"/>
        <family val="2"/>
      </rPr>
      <t xml:space="preserve">✅ 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시 마감 — 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</si>
  <si>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</si>
  <si>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외부마감 최우선</t>
    </r>
  </si>
  <si>
    <r>
      <rPr>
        <sz val="10"/>
        <rFont val="Arial"/>
        <family val="0"/>
        <charset val="1"/>
      </rPr>
      <t xml:space="preserve">ERD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전체 엔티티 관계도</t>
    </r>
    <r>
      <rPr>
        <sz val="10"/>
        <rFont val="Arial"/>
        <family val="0"/>
        <charset val="1"/>
      </rPr>
      <t xml:space="preserve">)</t>
    </r>
  </si>
  <si>
    <t xml:space="preserve">신규</t>
  </si>
  <si>
    <r>
      <rPr>
        <sz val="10"/>
        <rFont val="Arial"/>
        <family val="0"/>
        <charset val="1"/>
      </rPr>
      <t xml:space="preserve">API Contract(</t>
    </r>
    <r>
      <rPr>
        <sz val="10"/>
        <rFont val="Noto Sans CJK SC"/>
        <family val="2"/>
      </rPr>
      <t xml:space="preserve">엔드포인트 목록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응답 스펙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정의</t>
    </r>
  </si>
  <si>
    <r>
      <rPr>
        <sz val="10"/>
        <rFont val="Noto Sans CJK SC"/>
        <family val="2"/>
      </rPr>
      <t xml:space="preserve">상태전이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이벤트 구조 다이어그램 정리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예약→청소→정산→알림 연결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</si>
  <si>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✅ 1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+ERD+API Contract </t>
    </r>
    <r>
      <rPr>
        <sz val="10"/>
        <rFont val="Noto Sans CJK SC"/>
        <family val="2"/>
      </rPr>
      <t xml:space="preserve">대조 확인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</si>
  <si>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Gemini(</t>
    </r>
    <r>
      <rPr>
        <sz val="10"/>
        <rFont val="Noto Sans CJK SC"/>
        <family val="2"/>
      </rPr>
      <t xml:space="preserve">교차검증 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</si>
  <si>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2026-09-04(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</si>
  <si>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검증</t>
  </si>
  <si>
    <t xml:space="preserve">1.5</t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</si>
  <si>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</si>
  <si>
    <r>
      <rPr>
        <sz val="10"/>
        <rFont val="Noto Sans CJK SC"/>
        <family val="2"/>
      </rPr>
      <t xml:space="preserve">전체 화면목록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인박스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컴플라이언스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</si>
  <si>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2026-09-07(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</si>
  <si>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누락발견 반영</t>
    </r>
  </si>
  <si>
    <r>
      <rPr>
        <sz val="10"/>
        <rFont val="Arial"/>
        <family val="0"/>
        <charset val="1"/>
      </rPr>
      <t xml:space="preserve">User Flow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화면간 이동 구조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</si>
  <si>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2026-09-09(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</si>
  <si>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핵심 화면 와이어프레임 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인박스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</si>
  <si>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디자인시스템 공통 컴포넌트 정의</t>
    </r>
    <r>
      <rPr>
        <sz val="10"/>
        <rFont val="Arial"/>
        <family val="0"/>
        <charset val="1"/>
      </rPr>
      <t xml:space="preserve">(Header/Sidebar/Card/Badge/Modal/Toast/Loading/EmptyState)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</si>
  <si>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4</t>
    </r>
    <r>
      <rPr>
        <sz val="10"/>
        <rFont val="Noto Sans CJK SC"/>
        <family val="2"/>
      </rPr>
      <t xml:space="preserve">가지 상태</t>
    </r>
    <r>
      <rPr>
        <sz val="10"/>
        <rFont val="Arial"/>
        <family val="0"/>
        <charset val="1"/>
      </rPr>
      <t xml:space="preserve">(LOADING/SUCCESS/EMPTY/ERROR) </t>
    </r>
    <r>
      <rPr>
        <sz val="10"/>
        <rFont val="Noto Sans CJK SC"/>
        <family val="2"/>
      </rPr>
      <t xml:space="preserve">포함</t>
    </r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</si>
  <si>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화면</t>
    </r>
    <r>
      <rPr>
        <sz val="10"/>
        <rFont val="Arial"/>
        <family val="0"/>
        <charset val="1"/>
      </rPr>
      <t xml:space="preserve">+API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(JWT)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</si>
  <si>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Claude Code(</t>
    </r>
    <r>
      <rPr>
        <sz val="10"/>
        <rFont val="Noto Sans CJK SC"/>
        <family val="2"/>
      </rPr>
      <t xml:space="preserve">터미널 직접실행 권장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</si>
  <si>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기능명세엔 있었으나 체크리스트에서 누락됐던 항목</t>
    </r>
  </si>
  <si>
    <r>
      <rPr>
        <sz val="10"/>
        <rFont val="Arial"/>
        <family val="0"/>
        <charset val="1"/>
      </rPr>
      <t xml:space="preserve">✅ 1.5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와이어프레임 실제 흐름대로 클릭 시뮬레이션 리뷰</t>
    </r>
  </si>
  <si>
    <t xml:space="preserve">2</t>
  </si>
  <si>
    <r>
      <rPr>
        <sz val="10"/>
        <rFont val="Noto Sans CJK SC"/>
        <family val="2"/>
      </rPr>
      <t xml:space="preserve">로컬 개발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Docker Postgres</t>
    </r>
    <r>
      <rPr>
        <sz val="10"/>
        <rFont val="Noto Sans CJK SC"/>
        <family val="2"/>
      </rPr>
      <t xml:space="preserve">로 전환 결정 및 세팅</t>
    </r>
    <r>
      <rPr>
        <sz val="10"/>
        <rFont val="Arial"/>
        <family val="0"/>
        <charset val="1"/>
      </rPr>
      <t xml:space="preserve">(MariaDB </t>
    </r>
    <r>
      <rPr>
        <sz val="10"/>
        <rFont val="Noto Sans CJK SC"/>
        <family val="2"/>
      </rPr>
      <t xml:space="preserve">대신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문법불일치 리스크 원천차단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</si>
  <si>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2026-09-05(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</si>
  <si>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MariaDB↔Postgres </t>
    </r>
    <r>
      <rPr>
        <sz val="10"/>
        <rFont val="Noto Sans CJK SC"/>
        <family val="2"/>
      </rPr>
      <t xml:space="preserve">이원화 리스크 제거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</si>
  <si>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스키마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 </t>
    </r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설계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</si>
  <si>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GET /health </t>
    </r>
    <r>
      <rPr>
        <sz val="10"/>
        <rFont val="Noto Sans CJK SC"/>
        <family val="2"/>
      </rPr>
      <t xml:space="preserve">헬스체크 엔드포인트 구현</t>
    </r>
    <r>
      <rPr>
        <sz val="10"/>
        <rFont val="Arial"/>
        <family val="0"/>
        <charset val="1"/>
      </rPr>
      <t xml:space="preserve">(DB</t>
    </r>
    <r>
      <rPr>
        <sz val="10"/>
        <rFont val="Noto Sans CJK SC"/>
        <family val="2"/>
      </rPr>
      <t xml:space="preserve">조회없이 즉시 응답</t>
    </r>
    <r>
      <rPr>
        <sz val="10"/>
        <rFont val="Arial"/>
        <family val="0"/>
        <charset val="1"/>
      </rPr>
      <t xml:space="preserve">, Render </t>
    </r>
    <r>
      <rPr>
        <sz val="10"/>
        <rFont val="Noto Sans CJK SC"/>
        <family val="2"/>
      </rPr>
      <t xml:space="preserve">슬립방지용 </t>
    </r>
    <r>
      <rPr>
        <sz val="10"/>
        <rFont val="Arial"/>
        <family val="0"/>
        <charset val="1"/>
      </rPr>
      <t xml:space="preserve">UptimeRobot </t>
    </r>
    <r>
      <rPr>
        <sz val="10"/>
        <rFont val="Noto Sans CJK SC"/>
        <family val="2"/>
      </rPr>
      <t xml:space="preserve">핑 대상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</si>
  <si>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9/3 API Contract v1.5 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강사님 제안 검토로 발견</t>
    </r>
  </si>
  <si>
    <r>
      <rPr>
        <sz val="10"/>
        <rFont val="Arial"/>
        <family val="0"/>
        <charset val="1"/>
      </rPr>
      <t xml:space="preserve">.env/.gitignore </t>
    </r>
    <r>
      <rPr>
        <sz val="10"/>
        <rFont val="Noto Sans CJK SC"/>
        <family val="2"/>
      </rPr>
      <t xml:space="preserve">초기 설정</t>
    </r>
    <r>
      <rPr>
        <sz val="10"/>
        <rFont val="Arial"/>
        <family val="0"/>
        <charset val="1"/>
      </rPr>
      <t xml:space="preserve">(API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·DB</t>
    </r>
    <r>
      <rPr>
        <sz val="10"/>
        <rFont val="Noto Sans CJK SC"/>
        <family val="2"/>
      </rPr>
      <t xml:space="preserve">접속정보 분리</t>
    </r>
    <r>
      <rPr>
        <sz val="10"/>
        <rFont val="Arial"/>
        <family val="0"/>
        <charset val="1"/>
      </rPr>
      <t xml:space="preserve">, git </t>
    </r>
    <r>
      <rPr>
        <sz val="10"/>
        <rFont val="Noto Sans CJK SC"/>
        <family val="2"/>
      </rPr>
      <t xml:space="preserve">커밋 전 필수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</si>
  <si>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 사전조치</t>
    </r>
  </si>
  <si>
    <t xml:space="preserve">6</t>
  </si>
  <si>
    <r>
      <rPr>
        <sz val="10"/>
        <rFont val="Noto Sans CJK SC"/>
        <family val="2"/>
      </rPr>
      <t xml:space="preserve">녹화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편집 환경 설정</t>
    </r>
    <r>
      <rPr>
        <sz val="10"/>
        <rFont val="Arial"/>
        <family val="0"/>
        <charset val="1"/>
      </rPr>
      <t xml:space="preserve">(OBS 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편집툴 확정</t>
    </r>
    <r>
      <rPr>
        <sz val="10"/>
        <rFont val="Arial"/>
        <family val="0"/>
        <charset val="1"/>
      </rPr>
      <t xml:space="preserve">)</t>
    </r>
  </si>
  <si>
    <t xml:space="preserve">중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</si>
  <si>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편집도구 </t>
    </r>
    <r>
      <rPr>
        <sz val="10"/>
        <rFont val="Arial"/>
        <family val="0"/>
        <charset val="1"/>
      </rPr>
      <t xml:space="preserve">Canva/VEED </t>
    </r>
    <r>
      <rPr>
        <sz val="10"/>
        <rFont val="Noto Sans CJK SC"/>
        <family val="2"/>
      </rPr>
      <t xml:space="preserve">배제→</t>
    </r>
    <r>
      <rPr>
        <sz val="10"/>
        <rFont val="Arial"/>
        <family val="0"/>
        <charset val="1"/>
      </rPr>
      <t xml:space="preserve">Clipchamp 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, docs/video_recording_setup.md </t>
    </r>
    <r>
      <rPr>
        <sz val="10"/>
        <rFont val="Noto Sans CJK SC"/>
        <family val="2"/>
      </rPr>
      <t xml:space="preserve">참고</t>
    </r>
  </si>
  <si>
    <r>
      <rPr>
        <sz val="10"/>
        <rFont val="Arial"/>
        <family val="0"/>
        <charset val="1"/>
      </rPr>
      <t xml:space="preserve">Clipchamp 10</t>
    </r>
    <r>
      <rPr>
        <sz val="10"/>
        <rFont val="Noto Sans CJK SC"/>
        <family val="2"/>
      </rPr>
      <t xml:space="preserve">분 더미 영상 내보내기 테스트</t>
    </r>
  </si>
  <si>
    <r>
      <rPr>
        <sz val="10"/>
        <rFont val="Arial"/>
        <family val="0"/>
        <charset val="1"/>
      </rPr>
      <t xml:space="preserve">2026-10-07(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</si>
  <si>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실패 시 </t>
    </r>
    <r>
      <rPr>
        <sz val="10"/>
        <rFont val="Arial"/>
        <family val="0"/>
        <charset val="1"/>
      </rPr>
      <t xml:space="preserve">Shotcut </t>
    </r>
    <r>
      <rPr>
        <sz val="10"/>
        <rFont val="Noto Sans CJK SC"/>
        <family val="2"/>
      </rPr>
      <t xml:space="preserve">전환</t>
    </r>
  </si>
  <si>
    <r>
      <rPr>
        <sz val="10"/>
        <rFont val="Noto Sans CJK SC"/>
        <family val="2"/>
      </rPr>
      <t xml:space="preserve">통합 대시보드 뼈대</t>
    </r>
    <r>
      <rPr>
        <sz val="10"/>
        <rFont val="Arial"/>
        <family val="0"/>
        <charset val="1"/>
      </rPr>
      <t xml:space="preserve">(3~5</t>
    </r>
    <r>
      <rPr>
        <sz val="10"/>
        <rFont val="Noto Sans CJK SC"/>
        <family val="2"/>
      </rPr>
      <t xml:space="preserve">개 숙소 한눈에 보기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</si>
  <si>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2026-09-08(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</si>
  <si>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연동 </t>
    </r>
    <r>
      <rPr>
        <sz val="10"/>
        <rFont val="Arial"/>
        <family val="0"/>
        <charset val="1"/>
      </rPr>
      <t xml:space="preserve">+ ChannelConnection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(sync_status/last_synced_at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</si>
  <si>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2026-09-10(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</si>
  <si>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실제 구현</t>
    </r>
    <r>
      <rPr>
        <sz val="10"/>
        <rFont val="Arial"/>
        <family val="0"/>
        <charset val="1"/>
      </rPr>
      <t xml:space="preserve">(Mock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</si>
  <si>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화면</t>
    </r>
    <r>
      <rPr>
        <sz val="10"/>
        <rFont val="Arial"/>
        <family val="0"/>
        <charset val="1"/>
      </rPr>
      <t xml:space="preserve">+API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(JWT, </t>
    </r>
    <r>
      <rPr>
        <sz val="10"/>
        <rFont val="Noto Sans CJK SC"/>
        <family val="2"/>
      </rPr>
      <t xml:space="preserve">비밀번호는 </t>
    </r>
    <r>
      <rPr>
        <sz val="10"/>
        <rFont val="Arial"/>
        <family val="0"/>
        <charset val="1"/>
      </rPr>
      <t xml:space="preserve">bcrypt </t>
    </r>
    <r>
      <rPr>
        <sz val="10"/>
        <rFont val="Noto Sans CJK SC"/>
        <family val="2"/>
      </rPr>
      <t xml:space="preserve">해시로 저장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</si>
  <si>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2026-09-11(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</si>
  <si>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통합 캘린더 뷰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독채</t>
    </r>
    <r>
      <rPr>
        <sz val="10"/>
        <rFont val="Arial"/>
        <family val="0"/>
        <charset val="1"/>
      </rPr>
      <t xml:space="preserve">=Property</t>
    </r>
    <r>
      <rPr>
        <sz val="10"/>
        <rFont val="Noto Sans CJK SC"/>
        <family val="2"/>
      </rPr>
      <t xml:space="preserve">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호스텔</t>
    </r>
    <r>
      <rPr>
        <sz val="10"/>
        <rFont val="Arial"/>
        <family val="0"/>
        <charset val="1"/>
      </rPr>
      <t xml:space="preserve">=Room </t>
    </r>
    <r>
      <rPr>
        <sz val="10"/>
        <rFont val="Noto Sans CJK SC"/>
        <family val="2"/>
      </rPr>
      <t xml:space="preserve">아코디언</t>
    </r>
    <r>
      <rPr>
        <sz val="10"/>
        <rFont val="Arial"/>
        <family val="0"/>
        <charset val="1"/>
      </rPr>
      <t xml:space="preserve">-Bed</t>
    </r>
    <r>
      <rPr>
        <sz val="10"/>
        <rFont val="Noto Sans CJK SC"/>
        <family val="2"/>
      </rPr>
      <t xml:space="preserve">행</t>
    </r>
  </si>
  <si>
    <r>
      <rPr>
        <sz val="10"/>
        <rFont val="Arial"/>
        <family val="0"/>
        <charset val="1"/>
      </rPr>
      <t xml:space="preserve">2026-09-12(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</si>
  <si>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수동 새로고침 버튼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</si>
  <si>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 금지</t>
    </r>
  </si>
  <si>
    <r>
      <rPr>
        <sz val="10"/>
        <rFont val="Noto Sans CJK SC"/>
        <family val="2"/>
      </rPr>
      <t xml:space="preserve">네이버예약 채널카드 </t>
    </r>
    <r>
      <rPr>
        <sz val="10"/>
        <rFont val="Arial"/>
        <family val="0"/>
        <charset val="1"/>
      </rPr>
      <t xml:space="preserve">UI '</t>
    </r>
    <r>
      <rPr>
        <sz val="10"/>
        <rFont val="Noto Sans CJK SC"/>
        <family val="2"/>
      </rPr>
      <t xml:space="preserve">내보내기 전용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</si>
  <si>
    <r>
      <rPr>
        <sz val="10"/>
        <rFont val="Arial"/>
        <family val="0"/>
        <charset val="1"/>
      </rPr>
      <t xml:space="preserve">2026-09-15(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</si>
  <si>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네이버는 </t>
    </r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가져오기 미지원</t>
    </r>
  </si>
  <si>
    <r>
      <rPr>
        <sz val="10"/>
        <rFont val="Noto Sans CJK SC"/>
        <family val="2"/>
      </rPr>
      <t xml:space="preserve">채널연결</t>
    </r>
    <r>
      <rPr>
        <sz val="10"/>
        <rFont val="Arial"/>
        <family val="0"/>
        <charset val="1"/>
      </rPr>
      <t xml:space="preserve">(iCal URL) </t>
    </r>
    <r>
      <rPr>
        <sz val="10"/>
        <rFont val="Noto Sans CJK SC"/>
        <family val="2"/>
      </rPr>
      <t xml:space="preserve">실패시 에러 안내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잘못된 </t>
    </r>
    <r>
      <rPr>
        <sz val="10"/>
        <rFont val="Arial"/>
        <family val="0"/>
        <charset val="1"/>
      </rPr>
      <t xml:space="preserve">URL/</t>
    </r>
    <r>
      <rPr>
        <sz val="10"/>
        <rFont val="Noto Sans CJK SC"/>
        <family val="2"/>
      </rPr>
      <t xml:space="preserve">파싱실패 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</si>
  <si>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2026-09-18(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</si>
  <si>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</si>
  <si>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핵심케이스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</si>
  <si>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2026-09-14(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</si>
  <si>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Bed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호스텔 확장용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</si>
  <si>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차 데모 강조점 아님</t>
    </r>
  </si>
  <si>
    <r>
      <rPr>
        <sz val="10"/>
        <rFont val="Arial"/>
        <family val="0"/>
        <charset val="1"/>
      </rPr>
      <t xml:space="preserve">EXCLUDE USING GIST </t>
    </r>
    <r>
      <rPr>
        <sz val="10"/>
        <rFont val="Noto Sans CJK SC"/>
        <family val="2"/>
      </rPr>
      <t xml:space="preserve">겹침방지 제약조건 실제동작 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겹침예약 </t>
    </r>
    <r>
      <rPr>
        <sz val="10"/>
        <rFont val="Arial"/>
        <family val="0"/>
        <charset val="1"/>
      </rPr>
      <t xml:space="preserve">insert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레벨 차단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</si>
  <si>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배포환경 검증</t>
    </r>
  </si>
  <si>
    <r>
      <rPr>
        <sz val="10"/>
        <rFont val="Arial"/>
        <family val="0"/>
        <charset val="1"/>
      </rPr>
      <t xml:space="preserve">✅ 2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중복감지 정상동작 확인</t>
    </r>
  </si>
  <si>
    <r>
      <rPr>
        <sz val="10"/>
        <rFont val="Arial"/>
        <family val="0"/>
        <charset val="1"/>
      </rPr>
      <t xml:space="preserve">Vercel+Render+Supabase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생성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뼈대 프로젝트로 </t>
    </r>
    <r>
      <rPr>
        <sz val="10"/>
        <rFont val="Arial"/>
        <family val="0"/>
        <charset val="1"/>
      </rPr>
      <t xml:space="preserve">CORS/env </t>
    </r>
    <r>
      <rPr>
        <sz val="10"/>
        <rFont val="Noto Sans CJK SC"/>
        <family val="2"/>
      </rPr>
      <t xml:space="preserve">연결 테스트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</si>
  <si>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2026-10-01(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</si>
  <si>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원래</t>
    </r>
    <r>
      <rPr>
        <sz val="10"/>
        <rFont val="Arial"/>
        <family val="0"/>
        <charset val="1"/>
      </rPr>
      <t xml:space="preserve">9/16→10/1), 750</t>
    </r>
    <r>
      <rPr>
        <sz val="10"/>
        <rFont val="Noto Sans CJK SC"/>
        <family val="2"/>
      </rPr>
      <t xml:space="preserve">시간 한도 보존 위해 너무 일찍 만들지 않음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카테고리도 기반인프라→마무리로 재분류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날짜범위 왜곡방지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</si>
  <si>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.env.production </t>
    </r>
    <r>
      <rPr>
        <sz val="10"/>
        <rFont val="Noto Sans CJK SC"/>
        <family val="2"/>
      </rPr>
      <t xml:space="preserve">환경변수 설정</t>
    </r>
    <r>
      <rPr>
        <sz val="10"/>
        <rFont val="Arial"/>
        <family val="0"/>
        <charset val="1"/>
      </rPr>
      <t xml:space="preserve">(Vercel/Render/Supabase </t>
    </r>
    <r>
      <rPr>
        <sz val="10"/>
        <rFont val="Noto Sans CJK SC"/>
        <family val="2"/>
      </rPr>
      <t xml:space="preserve">키 분리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</si>
  <si>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원래</t>
    </r>
    <r>
      <rPr>
        <sz val="10"/>
        <rFont val="Arial"/>
        <family val="0"/>
        <charset val="1"/>
      </rPr>
      <t xml:space="preserve">9/16→10/1), </t>
    </r>
    <r>
      <rPr>
        <sz val="10"/>
        <rFont val="Noto Sans CJK SC"/>
        <family val="2"/>
      </rPr>
      <t xml:space="preserve">배포환경 검증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카테고리 재분류</t>
    </r>
  </si>
  <si>
    <r>
      <rPr>
        <sz val="10"/>
        <rFont val="Noto Sans CJK SC"/>
        <family val="2"/>
      </rPr>
      <t xml:space="preserve">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빈상태 공통 컴포넌트 적용 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캘린더 화면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</si>
  <si>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Empty/Error UX</t>
    </r>
  </si>
  <si>
    <t xml:space="preserve">3</t>
  </si>
  <si>
    <r>
      <rPr>
        <sz val="10"/>
        <rFont val="Noto Sans CJK SC"/>
        <family val="2"/>
      </rPr>
      <t xml:space="preserve">자체 통합 인박스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게스트 채팅 시뮬레이터 </t>
    </r>
    <r>
      <rPr>
        <sz val="10"/>
        <rFont val="Arial"/>
        <family val="0"/>
        <charset val="1"/>
      </rPr>
      <t xml:space="preserve">UI)</t>
    </r>
  </si>
  <si>
    <r>
      <rPr>
        <sz val="10"/>
        <rFont val="Arial"/>
        <family val="0"/>
        <charset val="1"/>
      </rPr>
      <t xml:space="preserve">2026-09-17(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</si>
  <si>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Mock UI</t>
  </si>
  <si>
    <r>
      <rPr>
        <sz val="10"/>
        <rFont val="Noto Sans CJK SC"/>
        <family val="2"/>
      </rPr>
      <t xml:space="preserve">숙소별 </t>
    </r>
    <r>
      <rPr>
        <sz val="10"/>
        <rFont val="Arial"/>
        <family val="0"/>
        <charset val="1"/>
      </rPr>
      <t xml:space="preserve">RAG </t>
    </r>
    <r>
      <rPr>
        <sz val="10"/>
        <rFont val="Noto Sans CJK SC"/>
        <family val="2"/>
      </rPr>
      <t xml:space="preserve">지식베이스 구축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 벡터검색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비용無</t>
    </r>
    <r>
      <rPr>
        <sz val="10"/>
        <rFont val="Arial"/>
        <family val="0"/>
        <charset val="1"/>
      </rPr>
      <t xml:space="preserve">) + property_id </t>
    </r>
    <r>
      <rPr>
        <sz val="10"/>
        <rFont val="Noto Sans CJK SC"/>
        <family val="2"/>
      </rPr>
      <t xml:space="preserve">스코프 격리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개발용 응답캐시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동일질문 반복시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미호출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</si>
  <si>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2026-09-19(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</si>
  <si>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: 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한번에 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</si>
  <si>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Claude API </t>
    </r>
    <r>
      <rPr>
        <sz val="10"/>
        <rFont val="Noto Sans CJK SC"/>
        <family val="2"/>
      </rPr>
      <t xml:space="preserve">초기설정</t>
    </r>
    <r>
      <rPr>
        <sz val="10"/>
        <rFont val="Arial"/>
        <family val="0"/>
        <charset val="1"/>
      </rPr>
      <t xml:space="preserve">: $5 </t>
    </r>
    <r>
      <rPr>
        <sz val="10"/>
        <rFont val="Noto Sans CJK SC"/>
        <family val="2"/>
      </rPr>
      <t xml:space="preserve">선충전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Spend Limit $10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Dev/Prod API</t>
    </r>
    <r>
      <rPr>
        <sz val="10"/>
        <rFont val="Noto Sans CJK SC"/>
        <family val="2"/>
      </rPr>
      <t xml:space="preserve">키 분리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</si>
  <si>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</si>
  <si>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0"/>
        <charset val="1"/>
      </rPr>
      <t xml:space="preserve">UI(3~8</t>
    </r>
    <r>
      <rPr>
        <sz val="10"/>
        <rFont val="Noto Sans CJK SC"/>
        <family val="2"/>
      </rPr>
      <t xml:space="preserve">초 지연 대응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</si>
  <si>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비동기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누락발견 반영</t>
    </r>
  </si>
  <si>
    <r>
      <rPr>
        <sz val="10"/>
        <rFont val="Arial"/>
        <family val="0"/>
        <charset val="1"/>
      </rPr>
      <t xml:space="preserve">LangGraph MAX_STEPS/recursion_limit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재시도는 개별호출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회로 제한</t>
    </r>
    <r>
      <rPr>
        <sz val="10"/>
        <rFont val="Arial"/>
        <family val="0"/>
        <charset val="1"/>
      </rPr>
      <t xml:space="preserve">(1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 Claude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</si>
  <si>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</si>
  <si>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2 — retry×step </t>
    </r>
    <r>
      <rPr>
        <sz val="10"/>
        <rFont val="Noto Sans CJK SC"/>
        <family val="2"/>
      </rPr>
      <t xml:space="preserve">곱연산 폭주 방지</t>
    </r>
    <r>
      <rPr>
        <sz val="10"/>
        <rFont val="Arial"/>
        <family val="0"/>
        <charset val="1"/>
      </rPr>
      <t xml:space="preserve">, 2026-09-01 </t>
    </r>
    <r>
      <rPr>
        <sz val="10"/>
        <rFont val="Noto Sans CJK SC"/>
        <family val="2"/>
      </rPr>
      <t xml:space="preserve">크로스체크로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회→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상향 확정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</si>
  <si>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문의 엔드포인트 </t>
    </r>
    <r>
      <rPr>
        <sz val="10"/>
        <rFont val="Arial"/>
        <family val="0"/>
        <charset val="1"/>
      </rPr>
      <t xml:space="preserve">Rate Limit(IP</t>
    </r>
    <r>
      <rPr>
        <sz val="10"/>
        <rFont val="Noto Sans CJK SC"/>
        <family val="2"/>
      </rPr>
      <t xml:space="preserve">당 분당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) + LLM </t>
    </r>
    <r>
      <rPr>
        <sz val="10"/>
        <rFont val="Noto Sans CJK SC"/>
        <family val="2"/>
      </rPr>
      <t xml:space="preserve">사용량 로깅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토큰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상태 기록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</si>
  <si>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2026-09-22(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</si>
  <si>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</si>
  <si>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AI/iCal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Toast·Fallback </t>
    </r>
    <r>
      <rPr>
        <sz val="10"/>
        <rFont val="Noto Sans CJK SC"/>
        <family val="2"/>
      </rPr>
      <t xml:space="preserve">안내 처리</t>
    </r>
  </si>
  <si>
    <r>
      <rPr>
        <sz val="10"/>
        <rFont val="Arial"/>
        <family val="0"/>
        <charset val="1"/>
      </rPr>
      <t xml:space="preserve">2026-09-23(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</si>
  <si>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문의 자동분류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컴플레인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</si>
  <si>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외국인 게스트 언어 자동감지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응답 생성</t>
    </r>
  </si>
  <si>
    <t xml:space="preserve">★차별점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</si>
  <si>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답변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근거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참고 </t>
    </r>
    <r>
      <rPr>
        <sz val="10"/>
        <rFont val="Arial"/>
        <family val="0"/>
        <charset val="1"/>
      </rPr>
      <t xml:space="preserve">KB </t>
    </r>
    <r>
      <rPr>
        <sz val="10"/>
        <rFont val="Noto Sans CJK SC"/>
        <family val="2"/>
      </rPr>
      <t xml:space="preserve">나열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마크다운 렌더링 처리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</si>
  <si>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텍스트 날것 노출 방지</t>
    </r>
  </si>
  <si>
    <r>
      <rPr>
        <sz val="10"/>
        <rFont val="Noto Sans CJK SC"/>
        <family val="2"/>
      </rPr>
      <t xml:space="preserve">위험도 분류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자동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와이파이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체크인시간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비번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승인필요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변경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할인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민원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고장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안전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</si>
  <si>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2026-09-26(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</si>
  <si>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체크아웃 안내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리뷰요청 자동화</t>
    </r>
  </si>
  <si>
    <r>
      <rPr>
        <sz val="10"/>
        <rFont val="Noto Sans CJK SC"/>
        <family val="2"/>
      </rPr>
      <t xml:space="preserve">예약 상세화면→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대화내역→</t>
    </r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처리이력으로 이어지는 통합 딥링크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단일플로우 구현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</si>
  <si>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1(Context Switch) </t>
    </r>
    <r>
      <rPr>
        <sz val="10"/>
        <rFont val="Noto Sans CJK SC"/>
        <family val="2"/>
      </rPr>
      <t xml:space="preserve">대응 — 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보이지 않게</t>
    </r>
  </si>
  <si>
    <r>
      <rPr>
        <sz val="10"/>
        <rFont val="Noto Sans CJK SC"/>
        <family val="2"/>
      </rPr>
      <t xml:space="preserve">중간 회귀체크포인트</t>
    </r>
    <r>
      <rPr>
        <sz val="10"/>
        <rFont val="Arial"/>
        <family val="0"/>
        <charset val="1"/>
      </rPr>
      <t xml:space="preserve">1: 1~3</t>
    </r>
    <r>
      <rPr>
        <sz val="10"/>
        <rFont val="Noto Sans CJK SC"/>
        <family val="2"/>
      </rPr>
      <t xml:space="preserve">단계 기능 통합 재확인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응대까지 흐름 재실행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</si>
  <si>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QA</t>
    </r>
    <r>
      <rPr>
        <sz val="10"/>
        <rFont val="Noto Sans CJK SC"/>
        <family val="2"/>
      </rPr>
      <t xml:space="preserve">를 마지막에 몰지 않기</t>
    </r>
  </si>
  <si>
    <r>
      <rPr>
        <sz val="10"/>
        <rFont val="Arial"/>
        <family val="0"/>
        <charset val="1"/>
      </rPr>
      <t xml:space="preserve">✅ 3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교차오답 테스트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의도적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실패 유발후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</si>
  <si>
    <r>
      <rPr>
        <sz val="10"/>
        <rFont val="Arial"/>
        <family val="0"/>
        <charset val="1"/>
      </rPr>
      <t xml:space="preserve">2026-09-28(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</si>
  <si>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4</t>
  </si>
  <si>
    <r>
      <rPr>
        <sz val="10"/>
        <rFont val="Noto Sans CJK SC"/>
        <family val="2"/>
      </rPr>
      <t xml:space="preserve">예약확정시 임시 비밀번호 자동생성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만료 로직</t>
    </r>
  </si>
  <si>
    <r>
      <rPr>
        <sz val="10"/>
        <rFont val="Arial"/>
        <family val="0"/>
        <charset val="1"/>
      </rPr>
      <t xml:space="preserve">2026-09-29(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</si>
  <si>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스마트락 </t>
    </r>
    <r>
      <rPr>
        <sz val="10"/>
        <rFont val="Arial"/>
        <family val="0"/>
        <charset val="1"/>
      </rPr>
      <t xml:space="preserve">100% Mock </t>
    </r>
    <r>
      <rPr>
        <sz val="10"/>
        <rFont val="Noto Sans CJK SC"/>
        <family val="2"/>
      </rPr>
      <t xml:space="preserve">확정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표시</t>
    </r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</si>
  <si>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구분표시 반영</t>
    </r>
  </si>
  <si>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락 상태 대시보드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잠김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열림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</si>
  <si>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2026-09-30(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</si>
  <si>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Mock</t>
  </si>
  <si>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시설 관리</t>
    </r>
  </si>
  <si>
    <r>
      <rPr>
        <sz val="10"/>
        <rFont val="Noto Sans CJK SC"/>
        <family val="2"/>
      </rPr>
      <t xml:space="preserve">예약확정 시점 청소작업 선제생성 로직</t>
    </r>
    <r>
      <rPr>
        <sz val="10"/>
        <rFont val="Arial"/>
        <family val="0"/>
        <charset val="1"/>
      </rPr>
      <t xml:space="preserve">(scheduled_date=</t>
    </r>
    <r>
      <rPr>
        <sz val="10"/>
        <rFont val="Noto Sans CJK SC"/>
        <family val="2"/>
      </rPr>
      <t xml:space="preserve">체크아웃일</t>
    </r>
    <r>
      <rPr>
        <sz val="10"/>
        <rFont val="Arial"/>
        <family val="0"/>
        <charset val="1"/>
      </rPr>
      <t xml:space="preserve">, 9/3 </t>
    </r>
    <r>
      <rPr>
        <sz val="10"/>
        <rFont val="Noto Sans CJK SC"/>
        <family val="2"/>
      </rPr>
      <t xml:space="preserve">크로스체크로 시점 정정 — 전날알림 기능 성립을 위해 필요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</si>
  <si>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생성시점 정정</t>
    </r>
  </si>
  <si>
    <r>
      <rPr>
        <sz val="10"/>
        <rFont val="Noto Sans CJK SC"/>
        <family val="2"/>
      </rPr>
      <t xml:space="preserve">청소 상태머신 구현</t>
    </r>
    <r>
      <rPr>
        <sz val="10"/>
        <rFont val="Arial"/>
        <family val="0"/>
        <charset val="1"/>
      </rPr>
      <t xml:space="preserve">(PENDING→ASSIGNED→IN_PROGRESS→COMPLETED→VERIFIED/ISSUE)</t>
    </r>
  </si>
  <si>
    <r>
      <rPr>
        <sz val="10"/>
        <rFont val="Arial"/>
        <family val="0"/>
        <charset val="1"/>
      </rPr>
      <t xml:space="preserve">2026-10-02(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</si>
  <si>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예약변경시 청소시간 자동 재계산 로직</t>
  </si>
  <si>
    <r>
      <rPr>
        <sz val="10"/>
        <rFont val="Arial"/>
        <family val="0"/>
        <charset val="1"/>
      </rPr>
      <t xml:space="preserve">Empty State/</t>
    </r>
    <r>
      <rPr>
        <sz val="10"/>
        <rFont val="Noto Sans CJK SC"/>
        <family val="2"/>
      </rPr>
      <t xml:space="preserve">에러처리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 반영</t>
    </r>
  </si>
  <si>
    <r>
      <rPr>
        <sz val="10"/>
        <rFont val="Noto Sans CJK SC"/>
        <family val="2"/>
      </rPr>
      <t xml:space="preserve">문자</t>
    </r>
    <r>
      <rPr>
        <sz val="10"/>
        <rFont val="Arial"/>
        <family val="0"/>
        <charset val="1"/>
      </rPr>
      <t xml:space="preserve">API(</t>
    </r>
    <r>
      <rPr>
        <sz val="10"/>
        <rFont val="Noto Sans CJK SC"/>
        <family val="2"/>
      </rPr>
      <t xml:space="preserve">알리고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청소업체 알림 자동발송</t>
    </r>
  </si>
  <si>
    <r>
      <rPr>
        <sz val="10"/>
        <rFont val="Arial"/>
        <family val="0"/>
        <charset val="1"/>
      </rPr>
      <t xml:space="preserve">2026-10-03(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</si>
  <si>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카카오알림톡 대신 채택</t>
  </si>
  <si>
    <r>
      <rPr>
        <sz val="10"/>
        <rFont val="Noto Sans CJK SC"/>
        <family val="2"/>
      </rPr>
      <t xml:space="preserve">체크리스트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사진업로드 완료확인</t>
    </r>
    <r>
      <rPr>
        <sz val="10"/>
        <rFont val="Arial"/>
        <family val="0"/>
        <charset val="1"/>
      </rPr>
      <t xml:space="preserve">(VERIFIED 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</si>
  <si>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호스텔 객실</t>
    </r>
    <r>
      <rPr>
        <sz val="10"/>
        <rFont val="Arial"/>
        <family val="0"/>
        <charset val="1"/>
      </rPr>
      <t xml:space="preserve">(Room)</t>
    </r>
    <r>
      <rPr>
        <sz val="10"/>
        <rFont val="Noto Sans CJK SC"/>
        <family val="2"/>
      </rPr>
      <t xml:space="preserve">단위 정비 체크리스트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비품부족 체크박스</t>
    </r>
  </si>
  <si>
    <r>
      <rPr>
        <sz val="10"/>
        <rFont val="Arial"/>
        <family val="0"/>
        <charset val="1"/>
      </rPr>
      <t xml:space="preserve">✅ 4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체크아웃→청소생성→상태전이 전체 흐름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시뮬레이션</t>
    </r>
  </si>
  <si>
    <t xml:space="preserve">5</t>
  </si>
  <si>
    <r>
      <rPr>
        <sz val="10"/>
        <rFont val="Noto Sans CJK SC"/>
        <family val="2"/>
      </rPr>
      <t xml:space="preserve">데모 시드 데이터 스크립트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호스트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숙소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15~20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긴급알림 시나리오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발표 시점 기준 상대시간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D-1.5</t>
    </r>
    <r>
      <rPr>
        <sz val="10"/>
        <rFont val="Noto Sans CJK SC"/>
        <family val="2"/>
      </rPr>
      <t xml:space="preserve">시간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자동계산 로직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</si>
  <si>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골든패스 시드데이터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시간동기화</t>
    </r>
  </si>
  <si>
    <t xml:space="preserve">시드 스크립트 실행 및 데이터 정상 반영 확인</t>
  </si>
  <si>
    <r>
      <rPr>
        <sz val="10"/>
        <rFont val="Noto Sans CJK SC"/>
        <family val="2"/>
      </rPr>
      <t xml:space="preserve">개인정보 최소수집 원칙 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게스트데이터</t>
    </r>
    <r>
      <rPr>
        <sz val="10"/>
        <rFont val="Arial"/>
        <family val="0"/>
        <charset val="1"/>
      </rPr>
      <t xml:space="preserve">-RAG</t>
    </r>
    <r>
      <rPr>
        <sz val="10"/>
        <rFont val="Noto Sans CJK SC"/>
        <family val="2"/>
      </rPr>
      <t xml:space="preserve">데이터 분리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</si>
  <si>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개인정보</t>
    </r>
  </si>
  <si>
    <r>
      <rPr>
        <sz val="10"/>
        <rFont val="Arial"/>
        <family val="0"/>
        <charset val="1"/>
      </rPr>
      <t xml:space="preserve">Mock UI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통일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</si>
  <si>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2026-10-05(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</si>
  <si>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Real/Mock </t>
    </r>
    <r>
      <rPr>
        <sz val="10"/>
        <rFont val="Noto Sans CJK SC"/>
        <family val="2"/>
      </rPr>
      <t xml:space="preserve">구분표시</t>
    </r>
  </si>
  <si>
    <r>
      <rPr>
        <sz val="10"/>
        <rFont val="Noto Sans CJK SC"/>
        <family val="2"/>
      </rPr>
      <t xml:space="preserve">채널별 수수료 템플릿 설계</t>
    </r>
    <r>
      <rPr>
        <sz val="10"/>
        <rFont val="Arial"/>
        <family val="0"/>
        <charset val="1"/>
      </rPr>
      <t xml:space="preserve">(Airbnb 15.5%, Booking.com 15~18% </t>
    </r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</si>
  <si>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 자동추정 로직</t>
    </r>
    <r>
      <rPr>
        <sz val="10"/>
        <rFont val="Arial"/>
        <family val="0"/>
        <charset val="1"/>
      </rPr>
      <t xml:space="preserve">(Room </t>
    </r>
    <r>
      <rPr>
        <sz val="10"/>
        <rFont val="Noto Sans CJK SC"/>
        <family val="2"/>
      </rPr>
      <t xml:space="preserve">기본단가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박수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수수료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</si>
  <si>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일괄확인</t>
    </r>
    <r>
      <rPr>
        <sz val="10"/>
        <rFont val="Arial"/>
        <family val="0"/>
        <charset val="1"/>
      </rPr>
      <t xml:space="preserve">(Bulk Confirm) UI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</si>
  <si>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예외보정</t>
    </r>
    <r>
      <rPr>
        <sz val="10"/>
        <rFont val="Arial"/>
        <family val="0"/>
        <charset val="1"/>
      </rPr>
      <t xml:space="preserve">(Inline Edit, </t>
    </r>
    <r>
      <rPr>
        <sz val="10"/>
        <rFont val="Noto Sans CJK SC"/>
        <family val="2"/>
      </rPr>
      <t xml:space="preserve">차이나는 건만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</si>
  <si>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10~20% </t>
    </r>
    <r>
      <rPr>
        <sz val="10"/>
        <rFont val="Noto Sans CJK SC"/>
        <family val="2"/>
      </rPr>
      <t xml:space="preserve">목표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비율기준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</si>
  <si>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 반영 로직</t>
    </r>
    <r>
      <rPr>
        <sz val="10"/>
        <rFont val="Arial"/>
        <family val="0"/>
        <charset val="1"/>
      </rPr>
      <t xml:space="preserve">(refund_status </t>
    </r>
    <r>
      <rPr>
        <sz val="10"/>
        <rFont val="Noto Sans CJK SC"/>
        <family val="2"/>
      </rPr>
      <t xml:space="preserve">연동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매출 자동제외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</si>
  <si>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채널별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숙소별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월별 집계 </t>
    </r>
    <r>
      <rPr>
        <sz val="10"/>
        <rFont val="Arial"/>
        <family val="0"/>
        <charset val="1"/>
      </rPr>
      <t xml:space="preserve">+ financial_status </t>
    </r>
    <r>
      <rPr>
        <sz val="10"/>
        <rFont val="Noto Sans CJK SC"/>
        <family val="2"/>
      </rPr>
      <t xml:space="preserve">뱃지 표시</t>
    </r>
  </si>
  <si>
    <r>
      <rPr>
        <sz val="10"/>
        <rFont val="Arial"/>
        <family val="0"/>
        <charset val="1"/>
      </rPr>
      <t xml:space="preserve">2026-10-06(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</si>
  <si>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공휴일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지역축제 공공데이터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연동 추천가 로직</t>
    </r>
  </si>
  <si>
    <r>
      <rPr>
        <sz val="10"/>
        <rFont val="Noto Sans CJK SC"/>
        <family val="2"/>
      </rPr>
      <t xml:space="preserve">예약임박도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잔여객실 반영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Arial"/>
        <family val="0"/>
        <charset val="1"/>
      </rPr>
      <t xml:space="preserve">iCal</t>
    </r>
    <r>
      <rPr>
        <sz val="10"/>
        <rFont val="Noto Sans CJK SC"/>
        <family val="2"/>
      </rPr>
      <t xml:space="preserve">데이터 활용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</si>
  <si>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공백일 미세조정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성수기 방치감지 배치로직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평일할인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연휴인상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</si>
  <si>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9/2 </t>
    </r>
    <r>
      <rPr>
        <sz val="10"/>
        <rFont val="Noto Sans CJK SC"/>
        <family val="2"/>
      </rPr>
      <t xml:space="preserve">크로스체크로 추가확정</t>
    </r>
  </si>
  <si>
    <r>
      <rPr>
        <sz val="10"/>
        <rFont val="Noto Sans CJK SC"/>
        <family val="2"/>
      </rPr>
      <t xml:space="preserve">알림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액션센터</t>
    </r>
  </si>
  <si>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규칙기반 트리거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최종스펙 규칙표 그대로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</si>
  <si>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판단 개입 금지</t>
    </r>
  </si>
  <si>
    <r>
      <rPr>
        <sz val="10"/>
        <rFont val="Noto Sans CJK SC"/>
        <family val="2"/>
      </rPr>
      <t xml:space="preserve">중간 회귀체크포인트</t>
    </r>
    <r>
      <rPr>
        <sz val="10"/>
        <rFont val="Arial"/>
        <family val="0"/>
        <charset val="1"/>
      </rPr>
      <t xml:space="preserve">2: 4~5</t>
    </r>
    <r>
      <rPr>
        <sz val="10"/>
        <rFont val="Noto Sans CJK SC"/>
        <family val="2"/>
      </rPr>
      <t xml:space="preserve">단계 진행분 재확인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청소→정산 흐름 재실행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</si>
  <si>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</si>
  <si>
    <r>
      <rPr>
        <sz val="10"/>
        <rFont val="Noto Sans CJK SC"/>
        <family val="2"/>
      </rPr>
      <t xml:space="preserve">추천가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카드 </t>
    </r>
    <r>
      <rPr>
        <sz val="10"/>
        <rFont val="Arial"/>
        <family val="0"/>
        <charset val="1"/>
      </rPr>
      <t xml:space="preserve">UI, </t>
    </r>
    <r>
      <rPr>
        <sz val="10"/>
        <rFont val="Noto Sans CJK SC"/>
        <family val="2"/>
      </rPr>
      <t xml:space="preserve">승인클릭→</t>
    </r>
    <r>
      <rPr>
        <sz val="10"/>
        <rFont val="Arial"/>
        <family val="0"/>
        <charset val="1"/>
      </rPr>
      <t xml:space="preserve">Mock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하한가 경고</t>
    </r>
  </si>
  <si>
    <t xml:space="preserve">🔴🟡🟢 통합 위젯 대시보드 구현</t>
  </si>
  <si>
    <r>
      <rPr>
        <sz val="10"/>
        <rFont val="Noto Sans CJK SC"/>
        <family val="2"/>
      </rPr>
      <t xml:space="preserve">각 이벤트 소스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승인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서류만료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</si>
  <si>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숙박업 유형별 체크리스트 정적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템플릿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법정명칭 정확표기</t>
    </r>
  </si>
  <si>
    <r>
      <rPr>
        <sz val="10"/>
        <rFont val="Noto Sans CJK SC"/>
        <family val="2"/>
      </rPr>
      <t xml:space="preserve">업종별 킬러요건 </t>
    </r>
    <r>
      <rPr>
        <sz val="10"/>
        <rFont val="Arial"/>
        <family val="0"/>
        <charset val="1"/>
      </rPr>
      <t xml:space="preserve">1~2</t>
    </r>
    <r>
      <rPr>
        <sz val="10"/>
        <rFont val="Noto Sans CJK SC"/>
        <family val="2"/>
      </rPr>
      <t xml:space="preserve">개 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여권보관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수질검사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소방안전관리자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</si>
  <si>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변경신고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카운트다운 로직</t>
    </r>
  </si>
  <si>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가격 화면에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빈상태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적용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</si>
  <si>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확대</t>
    </r>
  </si>
  <si>
    <r>
      <rPr>
        <sz val="10"/>
        <rFont val="Arial"/>
        <family val="0"/>
        <charset val="1"/>
      </rPr>
      <t xml:space="preserve">✅ 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알림센터 트리거 실데이터로 재현</t>
    </r>
  </si>
  <si>
    <t xml:space="preserve">5.5</t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</si>
  <si>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QA·</t>
    </r>
    <r>
      <rPr>
        <sz val="10"/>
        <rFont val="Noto Sans CJK SC"/>
        <family val="2"/>
      </rPr>
      <t xml:space="preserve">보안</t>
    </r>
  </si>
  <si>
    <r>
      <rPr>
        <sz val="10"/>
        <rFont val="Noto Sans CJK SC"/>
        <family val="2"/>
      </rPr>
      <t xml:space="preserve">전체 기능 회귀테스트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예약→청소→</t>
    </r>
    <r>
      <rPr>
        <sz val="10"/>
        <rFont val="Arial"/>
        <family val="0"/>
        <charset val="1"/>
      </rPr>
      <t xml:space="preserve">AI→</t>
    </r>
    <r>
      <rPr>
        <sz val="10"/>
        <rFont val="Noto Sans CJK SC"/>
        <family val="2"/>
      </rPr>
      <t xml:space="preserve">정산→알림 전체 플로우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통관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</si>
  <si>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2026-10-08(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</si>
  <si>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중복예약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/iCal</t>
    </r>
    <r>
      <rPr>
        <sz val="10"/>
        <rFont val="Noto Sans CJK SC"/>
        <family val="2"/>
      </rPr>
      <t xml:space="preserve">실패</t>
    </r>
    <r>
      <rPr>
        <sz val="10"/>
        <rFont val="Arial"/>
        <family val="0"/>
        <charset val="1"/>
      </rPr>
      <t xml:space="preserve">/LLM</t>
    </r>
    <r>
      <rPr>
        <sz val="10"/>
        <rFont val="Noto Sans CJK SC"/>
        <family val="2"/>
      </rPr>
      <t xml:space="preserve">실패</t>
    </r>
    <r>
      <rPr>
        <sz val="10"/>
        <rFont val="Arial"/>
        <family val="0"/>
        <charset val="1"/>
      </rPr>
      <t xml:space="preserve">/DB</t>
    </r>
    <r>
      <rPr>
        <sz val="10"/>
        <rFont val="Noto Sans CJK SC"/>
        <family val="2"/>
      </rPr>
      <t xml:space="preserve">실패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</si>
  <si>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비밀번호 해시 확인</t>
    </r>
    <r>
      <rPr>
        <sz val="10"/>
        <rFont val="Arial"/>
        <family val="0"/>
        <charset val="1"/>
      </rPr>
      <t xml:space="preserve">, .env/GitHub secret </t>
    </r>
    <r>
      <rPr>
        <sz val="10"/>
        <rFont val="Noto Sans CJK SC"/>
        <family val="2"/>
      </rPr>
      <t xml:space="preserve">노출여부 검색</t>
    </r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</si>
  <si>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라벨 전수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</si>
  <si>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1920x1080 </t>
    </r>
    <r>
      <rPr>
        <sz val="10"/>
        <rFont val="Noto Sans CJK SC"/>
        <family val="2"/>
      </rPr>
      <t xml:space="preserve">데스크톱</t>
    </r>
    <r>
      <rPr>
        <sz val="10"/>
        <rFont val="Arial"/>
        <family val="0"/>
        <charset val="1"/>
      </rPr>
      <t xml:space="preserve">+Chrome </t>
    </r>
    <r>
      <rPr>
        <sz val="10"/>
        <rFont val="Noto Sans CJK SC"/>
        <family val="2"/>
      </rPr>
      <t xml:space="preserve">기준 화면 확인</t>
    </r>
  </si>
  <si>
    <r>
      <rPr>
        <sz val="10"/>
        <rFont val="Arial"/>
        <family val="0"/>
        <charset val="1"/>
      </rPr>
      <t xml:space="preserve">2026-10-09(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</si>
  <si>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README.md </t>
    </r>
    <r>
      <rPr>
        <sz val="10"/>
        <rFont val="Noto Sans CJK SC"/>
        <family val="2"/>
      </rPr>
      <t xml:space="preserve">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설치법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환경변수</t>
    </r>
    <r>
      <rPr>
        <sz val="10"/>
        <rFont val="Arial"/>
        <family val="0"/>
        <charset val="1"/>
      </rPr>
      <t xml:space="preserve">/Demo</t>
    </r>
    <r>
      <rPr>
        <sz val="10"/>
        <rFont val="Noto Sans CJK SC"/>
        <family val="2"/>
      </rPr>
      <t xml:space="preserve">계정</t>
    </r>
    <r>
      <rPr>
        <sz val="10"/>
        <rFont val="Arial"/>
        <family val="0"/>
        <charset val="1"/>
      </rPr>
      <t xml:space="preserve">/Real·Mock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</si>
  <si>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저장소 최종정리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프로덕션 배포 전환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스테이징→정식</t>
    </r>
    <r>
      <rPr>
        <sz val="10"/>
        <rFont val="Arial"/>
        <family val="0"/>
        <charset val="1"/>
      </rPr>
      <t xml:space="preserve">)+CORS </t>
    </r>
    <r>
      <rPr>
        <sz val="10"/>
        <rFont val="Noto Sans CJK SC"/>
        <family val="2"/>
      </rPr>
      <t xml:space="preserve">최종확인</t>
    </r>
  </si>
  <si>
    <t xml:space="preserve">조기배포 덕분에 최종전환만</t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</si>
  <si>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최종점검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숙소운영특화 </t>
    </r>
    <r>
      <rPr>
        <sz val="10"/>
        <rFont val="Arial"/>
        <family val="0"/>
        <charset val="1"/>
      </rPr>
      <t xml:space="preserve">AI Agent' </t>
    </r>
    <r>
      <rPr>
        <sz val="10"/>
        <rFont val="Noto Sans CJK SC"/>
        <family val="2"/>
      </rPr>
      <t xml:space="preserve">표현 일관성 점검</t>
    </r>
  </si>
  <si>
    <r>
      <rPr>
        <sz val="10"/>
        <rFont val="Noto Sans CJK SC"/>
        <family val="2"/>
      </rPr>
      <t xml:space="preserve">발표 슬라이드 최종본 확정</t>
    </r>
    <r>
      <rPr>
        <sz val="10"/>
        <rFont val="Arial"/>
        <family val="0"/>
        <charset val="1"/>
      </rPr>
      <t xml:space="preserve">(AI Agent Loop </t>
    </r>
    <r>
      <rPr>
        <sz val="10"/>
        <rFont val="Noto Sans CJK SC"/>
        <family val="2"/>
      </rPr>
      <t xml:space="preserve">다이어그램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</si>
  <si>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영상 대본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콘티 초안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 흐름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나레이션 포인트 먼저 잡기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최종 코드 완성 전에도 가능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</si>
  <si>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9/4 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마지막날 몰림 방지</t>
    </r>
  </si>
  <si>
    <r>
      <rPr>
        <sz val="10"/>
        <rFont val="Noto Sans CJK SC"/>
        <family val="2"/>
      </rPr>
      <t xml:space="preserve">영상 대본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콘티 최종본 확정</t>
    </r>
    <r>
      <rPr>
        <sz val="10"/>
        <rFont val="Arial"/>
        <family val="0"/>
        <charset val="1"/>
      </rPr>
      <t xml:space="preserve">(10/7 </t>
    </r>
    <r>
      <rPr>
        <sz val="10"/>
        <rFont val="Noto Sans CJK SC"/>
        <family val="2"/>
      </rPr>
      <t xml:space="preserve">초안 기반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 화면 캡처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</si>
  <si>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제출용 설명문서 최종본 정리</t>
    </r>
    <r>
      <rPr>
        <sz val="10"/>
        <rFont val="Arial"/>
        <family val="0"/>
        <charset val="1"/>
      </rPr>
      <t xml:space="preserve">(9/3 </t>
    </r>
    <r>
      <rPr>
        <sz val="10"/>
        <rFont val="Noto Sans CJK SC"/>
        <family val="2"/>
      </rPr>
      <t xml:space="preserve">기획서 확장판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사용법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</si>
  <si>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  <r>
      <rPr>
        <sz val="10"/>
        <rFont val="Arial"/>
        <family val="0"/>
        <charset val="1"/>
      </rPr>
      <t xml:space="preserve">(10/10)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</si>
  <si>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화면 녹화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음성 나레이션 녹음</t>
    </r>
  </si>
  <si>
    <r>
      <rPr>
        <sz val="10"/>
        <rFont val="Noto Sans CJK SC"/>
        <family val="2"/>
      </rPr>
      <t xml:space="preserve">본인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시간소요 큼</t>
    </r>
  </si>
  <si>
    <r>
      <rPr>
        <sz val="10"/>
        <rFont val="Noto Sans CJK SC"/>
        <family val="2"/>
      </rPr>
      <t xml:space="preserve">아침 검토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전날 녹화분 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재촬영 필요분 파악</t>
    </r>
  </si>
  <si>
    <r>
      <rPr>
        <sz val="10"/>
        <rFont val="Arial"/>
        <family val="0"/>
        <charset val="1"/>
      </rPr>
      <t xml:space="preserve">2026-10-10(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</si>
  <si>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영상 편집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전환</t>
    </r>
    <r>
      <rPr>
        <sz val="10"/>
        <rFont val="Arial"/>
        <family val="0"/>
        <charset val="1"/>
      </rPr>
      <t xml:space="preserve">/BGM) + </t>
    </r>
    <r>
      <rPr>
        <sz val="10"/>
        <rFont val="Noto Sans CJK SC"/>
        <family val="2"/>
      </rPr>
      <t xml:space="preserve">렌더링</t>
    </r>
  </si>
  <si>
    <t xml:space="preserve">가장 시간소요 큰 작업</t>
  </si>
  <si>
    <r>
      <rPr>
        <sz val="10"/>
        <rFont val="Noto Sans CJK SC"/>
        <family val="2"/>
      </rPr>
      <t xml:space="preserve">최종 포맷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용량 확인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백업본 준비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최종 제출</t>
    </r>
  </si>
  <si>
    <t xml:space="preserve">제출 마감</t>
  </si>
  <si>
    <r>
      <rPr>
        <sz val="10"/>
        <rFont val="Noto Sans CJK SC"/>
        <family val="2"/>
      </rPr>
      <t xml:space="preserve">✅ 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</t>
    </r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최종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외부마감 </t>
    </r>
    <r>
      <rPr>
        <sz val="10"/>
        <rFont val="Arial"/>
        <family val="0"/>
        <charset val="1"/>
      </rPr>
      <t xml:space="preserve">10/10)</t>
    </r>
  </si>
  <si>
    <t xml:space="preserve">6.5</t>
  </si>
  <si>
    <r>
      <rPr>
        <sz val="10"/>
        <rFont val="Noto Sans CJK SC"/>
        <family val="2"/>
      </rPr>
      <t xml:space="preserve">데모 데이터 시드 재실행</t>
    </r>
    <r>
      <rPr>
        <sz val="10"/>
        <rFont val="Arial"/>
        <family val="0"/>
        <charset val="1"/>
      </rPr>
      <t xml:space="preserve">(DB </t>
    </r>
    <r>
      <rPr>
        <sz val="10"/>
        <rFont val="Noto Sans CJK SC"/>
        <family val="2"/>
      </rPr>
      <t xml:space="preserve">초기화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골든패스 데이터 재세팅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</si>
  <si>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2026-10-11(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</si>
  <si>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Demo Reset</t>
    </r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</si>
  <si>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데모 시나리오 리허설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로그인→대시보드→액션센터→예약확인→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문의→승인→청소→정산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</si>
  <si>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답변 준비</t>
    </r>
    <r>
      <rPr>
        <sz val="10"/>
        <rFont val="Arial"/>
        <family val="0"/>
        <charset val="1"/>
      </rPr>
      <t xml:space="preserve">(iCal </t>
    </r>
    <r>
      <rPr>
        <sz val="10"/>
        <rFont val="Noto Sans CJK SC"/>
        <family val="2"/>
      </rPr>
      <t xml:space="preserve">선택이유</t>
    </r>
    <r>
      <rPr>
        <sz val="10"/>
        <rFont val="Arial"/>
        <family val="0"/>
        <charset val="1"/>
      </rPr>
      <t xml:space="preserve">/DB</t>
    </r>
    <r>
      <rPr>
        <sz val="10"/>
        <rFont val="Noto Sans CJK SC"/>
        <family val="2"/>
      </rPr>
      <t xml:space="preserve">전환이유</t>
    </r>
    <r>
      <rPr>
        <sz val="10"/>
        <rFont val="Arial"/>
        <family val="0"/>
        <charset val="1"/>
      </rPr>
      <t xml:space="preserve">/AI Agent vs </t>
    </r>
    <r>
      <rPr>
        <sz val="10"/>
        <rFont val="Noto Sans CJK SC"/>
        <family val="2"/>
      </rPr>
      <t xml:space="preserve">챗봇 차이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</si>
  <si>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✅ 6.5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배포본 재생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서버 웨이크업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발표 최종 리허설</t>
    </r>
  </si>
  <si>
    <r>
      <rPr>
        <sz val="10"/>
        <rFont val="Noto Sans CJK SC"/>
        <family val="2"/>
      </rPr>
      <t xml:space="preserve">검증</t>
    </r>
    <r>
      <rPr>
        <sz val="10"/>
        <rFont val="Arial"/>
        <family val="0"/>
        <charset val="1"/>
      </rPr>
      <t xml:space="preserve">, 10/12</t>
    </r>
    <r>
      <rPr>
        <sz val="10"/>
        <rFont val="Noto Sans CJK SC"/>
        <family val="2"/>
      </rPr>
      <t xml:space="preserve">는 발표당일 작업없음</t>
    </r>
  </si>
  <si>
    <r>
      <rPr>
        <b val="true"/>
        <sz val="16"/>
        <color rgb="FF1F4E78"/>
        <rFont val="Arial"/>
        <family val="0"/>
        <charset val="1"/>
      </rPr>
      <t xml:space="preserve">9</t>
    </r>
    <r>
      <rPr>
        <b val="true"/>
        <sz val="16"/>
        <color rgb="FF1F4E78"/>
        <rFont val="Noto Sans CJK SC"/>
        <family val="2"/>
      </rPr>
      <t xml:space="preserve">단계 검증 체크리스트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결과 확인 리스트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</si>
  <si>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검증 예정일</t>
  </si>
  <si>
    <r>
      <rPr>
        <b val="true"/>
        <sz val="11"/>
        <color rgb="FFFFFFFF"/>
        <rFont val="Noto Sans CJK SC"/>
        <family val="2"/>
      </rPr>
      <t xml:space="preserve">결과 확인 리스트</t>
    </r>
    <r>
      <rPr>
        <b val="true"/>
        <sz val="11"/>
        <color rgb="FFFFFFFF"/>
        <rFont val="Arial"/>
        <family val="0"/>
        <charset val="1"/>
      </rPr>
      <t xml:space="preserve">(Definition of Done)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</si>
  <si>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데이터모델</t>
    </r>
    <r>
      <rPr>
        <b val="true"/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</si>
  <si>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□ Host-Property-Room-Bed </t>
    </r>
    <r>
      <rPr>
        <sz val="10"/>
        <rFont val="Noto Sans CJK SC"/>
        <family val="2"/>
      </rPr>
      <t xml:space="preserve">계층이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호스텔 둘 다 표현되는가
□ </t>
    </r>
    <r>
      <rPr>
        <sz val="10"/>
        <rFont val="Arial"/>
        <family val="0"/>
        <charset val="1"/>
      </rPr>
      <t xml:space="preserve">ENUM/</t>
    </r>
    <r>
      <rPr>
        <sz val="10"/>
        <rFont val="Noto Sans CJK SC"/>
        <family val="2"/>
      </rPr>
      <t xml:space="preserve">상태값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(reservation/refund/financial)</t>
    </r>
    <r>
      <rPr>
        <sz val="10"/>
        <rFont val="Noto Sans CJK SC"/>
        <family val="2"/>
      </rPr>
      <t xml:space="preserve">이 분리됐는가
□ </t>
    </r>
    <r>
      <rPr>
        <sz val="10"/>
        <rFont val="Arial"/>
        <family val="0"/>
        <charset val="1"/>
      </rPr>
      <t xml:space="preserve">ERD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API Contract</t>
    </r>
    <r>
      <rPr>
        <sz val="10"/>
        <rFont val="Noto Sans CJK SC"/>
        <family val="2"/>
      </rPr>
      <t xml:space="preserve">가 실제 스키마와 일치하는가</t>
    </r>
  </si>
  <si>
    <r>
      <rPr>
        <b val="true"/>
        <sz val="10"/>
        <rFont val="Arial"/>
        <family val="0"/>
        <charset val="1"/>
      </rPr>
      <t xml:space="preserve">1.5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UI/UX </t>
    </r>
    <r>
      <rPr>
        <b val="true"/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</si>
  <si>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□ 12</t>
    </r>
    <r>
      <rPr>
        <sz val="10"/>
        <rFont val="Noto Sans CJK SC"/>
        <family val="2"/>
      </rPr>
      <t xml:space="preserve">개 화면 목록에 빠진 화면이 없는가
□ 와이어프레임이 실제 사용흐름과 맞는가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클릭 시뮬레이션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공통 컴포넌트</t>
    </r>
    <r>
      <rPr>
        <sz val="10"/>
        <rFont val="Arial"/>
        <family val="0"/>
        <charset val="1"/>
      </rPr>
      <t xml:space="preserve">(Loading/Empty/Error/Toast)</t>
    </r>
    <r>
      <rPr>
        <sz val="10"/>
        <rFont val="Noto Sans CJK SC"/>
        <family val="2"/>
      </rPr>
      <t xml:space="preserve">가 정의됐는가
□ 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플로우가 설계에 포함됐는가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</si>
  <si>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기반 인프라</t>
    </r>
  </si>
  <si>
    <r>
      <rPr>
        <sz val="10"/>
        <rFont val="Noto Sans CJK SC"/>
        <family val="2"/>
      </rPr>
      <t xml:space="preserve">□ 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중복감지가 되는가
□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 전체예약시 하위 </t>
    </r>
    <r>
      <rPr>
        <sz val="10"/>
        <rFont val="Arial"/>
        <family val="0"/>
        <charset val="1"/>
      </rPr>
      <t xml:space="preserve">Room</t>
    </r>
    <r>
      <rPr>
        <sz val="10"/>
        <rFont val="Noto Sans CJK SC"/>
        <family val="2"/>
      </rPr>
      <t xml:space="preserve">이 모두 블록되는가
□ 스테이징 배포</t>
    </r>
    <r>
      <rPr>
        <sz val="10"/>
        <rFont val="Arial"/>
        <family val="0"/>
        <charset val="1"/>
      </rPr>
      <t xml:space="preserve">(Vercel/Render/Supabase)</t>
    </r>
    <r>
      <rPr>
        <sz val="10"/>
        <rFont val="Noto Sans CJK SC"/>
        <family val="2"/>
      </rPr>
      <t xml:space="preserve">가 조기에 연결됐는가
□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표현이 남아있지 않은가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</si>
  <si>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고객 응대 자동화</t>
    </r>
  </si>
  <si>
    <r>
      <rPr>
        <sz val="10"/>
        <rFont val="Arial"/>
        <family val="0"/>
        <charset val="1"/>
      </rPr>
      <t xml:space="preserve">2026-09-27(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</si>
  <si>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□ 교차오답 없이 숙소별로 정확히 분리되는가
□ 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 응답이 자연스러운가
□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응답지연시 스켈레톤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로딩 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가 뜨는가
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가 뜨는가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빈화면 아님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</si>
  <si>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체크인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청소</t>
    </r>
  </si>
  <si>
    <r>
      <rPr>
        <sz val="10"/>
        <rFont val="Noto Sans CJK SC"/>
        <family val="2"/>
      </rPr>
      <t xml:space="preserve">□ 체크아웃→청소생성→상태전이가 정상 흐르는가
□ 예약변경시 청소시간이 재계산되는가
□ </t>
    </r>
    <r>
      <rPr>
        <sz val="10"/>
        <rFont val="Arial"/>
        <family val="0"/>
        <charset val="1"/>
      </rPr>
      <t xml:space="preserve">Empty/Error </t>
    </r>
    <r>
      <rPr>
        <sz val="10"/>
        <rFont val="Noto Sans CJK SC"/>
        <family val="2"/>
      </rPr>
      <t xml:space="preserve">상태가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화면에도 적용됐는가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</si>
  <si>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정산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가격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알림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컴플라이언스</t>
    </r>
  </si>
  <si>
    <r>
      <rPr>
        <sz val="10"/>
        <rFont val="Noto Sans CJK SC"/>
        <family val="2"/>
      </rPr>
      <t xml:space="preserve">□ 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파이프라인이 실데이터로 재현되는가
□ 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환불이 매출에서 자동 제외되는가
□ </t>
    </r>
    <r>
      <rPr>
        <sz val="10"/>
        <rFont val="Arial"/>
        <family val="0"/>
        <charset val="1"/>
      </rPr>
      <t xml:space="preserve">Action Center</t>
    </r>
    <r>
      <rPr>
        <sz val="10"/>
        <rFont val="Noto Sans CJK SC"/>
        <family val="2"/>
      </rPr>
      <t xml:space="preserve">가 규칙대로만 트리거되는가</t>
    </r>
    <r>
      <rPr>
        <sz val="10"/>
        <rFont val="Arial"/>
        <family val="0"/>
        <charset val="1"/>
      </rPr>
      <t xml:space="preserve">(AI</t>
    </r>
    <r>
      <rPr>
        <sz val="10"/>
        <rFont val="Noto Sans CJK SC"/>
        <family val="2"/>
      </rPr>
      <t xml:space="preserve">판단 없이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시드데이터가 정상 반영됐는가</t>
    </r>
  </si>
  <si>
    <r>
      <rPr>
        <b val="true"/>
        <sz val="10"/>
        <rFont val="Arial"/>
        <family val="0"/>
        <charset val="1"/>
      </rPr>
      <t xml:space="preserve">5.5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통합</t>
    </r>
    <r>
      <rPr>
        <b val="true"/>
        <sz val="10"/>
        <rFont val="Arial"/>
        <family val="0"/>
        <charset val="1"/>
      </rPr>
      <t xml:space="preserve">QA·</t>
    </r>
    <r>
      <rPr>
        <b val="true"/>
        <sz val="10"/>
        <rFont val="Noto Sans CJK SC"/>
        <family val="2"/>
      </rPr>
      <t xml:space="preserve">보안</t>
    </r>
  </si>
  <si>
    <r>
      <rPr>
        <sz val="10"/>
        <rFont val="Noto Sans CJK SC"/>
        <family val="2"/>
      </rPr>
      <t xml:space="preserve">□ 전체 플로우 회귀테스트를 통과했는가
□ 중복예약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/API</t>
    </r>
    <r>
      <rPr>
        <sz val="10"/>
        <rFont val="Noto Sans CJK SC"/>
        <family val="2"/>
      </rPr>
      <t xml:space="preserve">실패 등 예외케이스 에러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를 확인했는가
□ 비밀번호 해시</t>
    </r>
    <r>
      <rPr>
        <sz val="10"/>
        <rFont val="Arial"/>
        <family val="0"/>
        <charset val="1"/>
      </rPr>
      <t xml:space="preserve">/.env/GitHub secret </t>
    </r>
    <r>
      <rPr>
        <sz val="10"/>
        <rFont val="Noto Sans CJK SC"/>
        <family val="2"/>
      </rPr>
      <t xml:space="preserve">노출이 없는가
□ 모든 </t>
    </r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기능에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뱃지가 표시되는가
□ </t>
    </r>
    <r>
      <rPr>
        <sz val="10"/>
        <rFont val="Arial"/>
        <family val="0"/>
        <charset val="1"/>
      </rPr>
      <t xml:space="preserve">README</t>
    </r>
    <r>
      <rPr>
        <sz val="10"/>
        <rFont val="Noto Sans CJK SC"/>
        <family val="2"/>
      </rPr>
      <t xml:space="preserve">가 작성됐는가</t>
    </r>
  </si>
  <si>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마무리</t>
    </r>
  </si>
  <si>
    <r>
      <rPr>
        <sz val="10"/>
        <rFont val="Noto Sans CJK SC"/>
        <family val="2"/>
      </rPr>
      <t xml:space="preserve">□ 프로덕션 배포본이 실제로 접속되는가
□ 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영상에 </t>
    </r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오류가 없는가
□ 영상 음성 나레이션이 끝까지 정상 재생되는가
□ 제출 포맷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용량이 요건에 맞는가</t>
    </r>
  </si>
  <si>
    <r>
      <rPr>
        <b val="true"/>
        <sz val="10"/>
        <rFont val="Arial"/>
        <family val="0"/>
        <charset val="1"/>
      </rPr>
      <t xml:space="preserve">6.5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최종 데모검증</t>
    </r>
  </si>
  <si>
    <r>
      <rPr>
        <sz val="10"/>
        <rFont val="Noto Sans CJK SC"/>
        <family val="2"/>
      </rPr>
      <t xml:space="preserve">□ 시드데이터 재실행 후 데모 데이터가 깨끗한가
□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시나리오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</t>
    </r>
    <r>
      <rPr>
        <sz val="10"/>
        <rFont val="Arial"/>
        <family val="0"/>
        <charset val="1"/>
      </rPr>
      <t xml:space="preserve">...→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가 끊김없이 진행되는가
□ 발표 전 서버 웨이크업을 확인했는가
□ 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답변이 준비됐는가</t>
    </r>
  </si>
  <si>
    <t xml:space="preserve">일자별 할 일 리스트</t>
  </si>
  <si>
    <r>
      <rPr>
        <b val="true"/>
        <sz val="11"/>
        <color rgb="FFFFFFFF"/>
        <rFont val="Noto Sans CJK SC"/>
        <family val="2"/>
      </rPr>
      <t xml:space="preserve">주간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본인</t>
    </r>
    <r>
      <rPr>
        <b val="true"/>
        <sz val="11"/>
        <color rgb="FFFFFFFF"/>
        <rFont val="Arial"/>
        <family val="0"/>
        <charset val="1"/>
      </rPr>
      <t xml:space="preserve">+Claude·</t>
    </r>
    <r>
      <rPr>
        <b val="true"/>
        <sz val="11"/>
        <color rgb="FFFFFFFF"/>
        <rFont val="Noto Sans CJK SC"/>
        <family val="2"/>
      </rPr>
      <t xml:space="preserve">구현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</si>
  <si>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야간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본인</t>
    </r>
    <r>
      <rPr>
        <b val="true"/>
        <sz val="11"/>
        <color rgb="FFFFFFFF"/>
        <rFont val="Arial"/>
        <family val="0"/>
        <charset val="1"/>
      </rPr>
      <t xml:space="preserve">+Gemini·</t>
    </r>
    <r>
      <rPr>
        <b val="true"/>
        <sz val="11"/>
        <color rgb="FFFFFFFF"/>
        <rFont val="Noto Sans CJK SC"/>
        <family val="2"/>
      </rPr>
      <t xml:space="preserve">기획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콘텐츠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</si>
  <si>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2026-08-31(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</si>
  <si>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</si>
  <si>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</si>
  <si>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i val="true"/>
        <sz val="9"/>
        <color rgb="FF674EA7"/>
        <rFont val="Arial"/>
        <family val="0"/>
        <charset val="1"/>
      </rPr>
      <t xml:space="preserve">□ [P0] Host-Property-Room-Bed </t>
    </r>
    <r>
      <rPr>
        <i val="true"/>
        <sz val="9"/>
        <color rgb="FF674EA7"/>
        <rFont val="Noto Sans CJK SC"/>
        <family val="2"/>
      </rPr>
      <t xml:space="preserve">계층 스키마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모두 </t>
    </r>
    <r>
      <rPr>
        <i val="true"/>
        <sz val="9"/>
        <color rgb="FF674EA7"/>
        <rFont val="Arial"/>
        <family val="0"/>
        <charset val="1"/>
      </rPr>
      <t xml:space="preserve">optional)
□ [P0] Property.accommodation_type </t>
    </r>
    <r>
      <rPr>
        <i val="true"/>
        <sz val="9"/>
        <color rgb="FF674EA7"/>
        <rFont val="Noto Sans CJK SC"/>
        <family val="2"/>
      </rPr>
      <t xml:space="preserve">단일 </t>
    </r>
    <r>
      <rPr>
        <i val="true"/>
        <sz val="9"/>
        <color rgb="FF674EA7"/>
        <rFont val="Arial"/>
        <family val="0"/>
        <charset val="1"/>
      </rPr>
      <t xml:space="preserve">ENUM </t>
    </r>
    <r>
      <rPr>
        <i val="true"/>
        <sz val="9"/>
        <color rgb="FF674EA7"/>
        <rFont val="Noto Sans CJK SC"/>
        <family val="2"/>
      </rPr>
      <t xml:space="preserve">필드 확정</t>
    </r>
  </si>
  <si>
    <r>
      <rPr>
        <b val="true"/>
        <sz val="10"/>
        <rFont val="Arial"/>
        <family val="0"/>
        <charset val="1"/>
      </rPr>
      <t xml:space="preserve">2026-09-01(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</si>
  <si>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
□ </t>
    </r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</si>
  <si>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Reservation.bookable_unit_type(PROPERTY/ROOM/BED) </t>
    </r>
    <r>
      <rPr>
        <i val="true"/>
        <sz val="9"/>
        <color rgb="FF674EA7"/>
        <rFont val="Noto Sans CJK SC"/>
        <family val="2"/>
      </rPr>
      <t xml:space="preserve">설계
□ </t>
    </r>
    <r>
      <rPr>
        <i val="true"/>
        <sz val="9"/>
        <color rgb="FF674EA7"/>
        <rFont val="Arial"/>
        <family val="0"/>
        <charset val="1"/>
      </rPr>
      <t xml:space="preserve">[P0] PROPERTY </t>
    </r>
    <r>
      <rPr>
        <i val="true"/>
        <sz val="9"/>
        <color rgb="FF674EA7"/>
        <rFont val="Noto Sans CJK SC"/>
        <family val="2"/>
      </rPr>
      <t xml:space="preserve">단위 예약시 하위 </t>
    </r>
    <r>
      <rPr>
        <i val="true"/>
        <sz val="9"/>
        <color rgb="FF674EA7"/>
        <rFont val="Arial"/>
        <family val="0"/>
        <charset val="1"/>
      </rPr>
      <t xml:space="preserve">Room </t>
    </r>
    <r>
      <rPr>
        <i val="true"/>
        <sz val="9"/>
        <color rgb="FF674EA7"/>
        <rFont val="Noto Sans CJK SC"/>
        <family val="2"/>
      </rPr>
      <t xml:space="preserve">전체 블록 인터셉터 로직 정의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본인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룸숙소 실제케이스</t>
    </r>
    <r>
      <rPr>
        <i val="true"/>
        <sz val="9"/>
        <color rgb="FF674EA7"/>
        <rFont val="Arial"/>
        <family val="0"/>
        <charset val="1"/>
      </rPr>
      <t xml:space="preserve">)
□ [P0] reservation_status / refund_status </t>
    </r>
    <r>
      <rPr>
        <i val="true"/>
        <sz val="9"/>
        <color rgb="FF674EA7"/>
        <rFont val="Noto Sans CJK SC"/>
        <family val="2"/>
      </rPr>
      <t xml:space="preserve">분리 설계
□ </t>
    </r>
    <r>
      <rPr>
        <i val="true"/>
        <sz val="9"/>
        <color rgb="FF674EA7"/>
        <rFont val="Arial"/>
        <family val="0"/>
        <charset val="1"/>
      </rPr>
      <t xml:space="preserve">UNIQUE </t>
    </r>
    <r>
      <rPr>
        <i val="true"/>
        <sz val="9"/>
        <color rgb="FF674EA7"/>
        <rFont val="Noto Sans CJK SC"/>
        <family val="2"/>
      </rPr>
      <t xml:space="preserve">복합제약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종 확정</t>
    </r>
    <r>
      <rPr>
        <i val="true"/>
        <sz val="9"/>
        <color rgb="FF674EA7"/>
        <rFont val="Arial"/>
        <family val="0"/>
        <charset val="1"/>
      </rPr>
      <t xml:space="preserve">(channel_connection_id+external_uid / property_id+target_month / property_id+channel)
□ INQUIRY_RESPONSES 1:N + is_latest </t>
    </r>
    <r>
      <rPr>
        <i val="true"/>
        <sz val="9"/>
        <color rgb="FF674EA7"/>
        <rFont val="Noto Sans CJK SC"/>
        <family val="2"/>
      </rPr>
      <t xml:space="preserve">플래그 설계 확정
□ </t>
    </r>
    <r>
      <rPr>
        <i val="true"/>
        <sz val="9"/>
        <color rgb="FF674EA7"/>
        <rFont val="Arial"/>
        <family val="0"/>
        <charset val="1"/>
      </rPr>
      <t xml:space="preserve">FINANCIAL_CONFIGS→MONTHLY_SETTLEMENTS </t>
    </r>
    <r>
      <rPr>
        <i val="true"/>
        <sz val="9"/>
        <color rgb="FF674EA7"/>
        <rFont val="Noto Sans CJK SC"/>
        <family val="2"/>
      </rPr>
      <t xml:space="preserve">관계 제거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스냅샷 분리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확정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기획서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선정이유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일정표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 — 기존 대화내용 취합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</si>
  <si>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2026-09-02(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</si>
  <si>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[P0] 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기획서 최종 검토 및 다듬기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</si>
  <si>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financial_status(ESTIMATED/CONFIRMED/MANUALLY_ADJUSTED) </t>
    </r>
    <r>
      <rPr>
        <i val="true"/>
        <sz val="9"/>
        <color rgb="FF674EA7"/>
        <rFont val="Noto Sans CJK SC"/>
        <family val="2"/>
      </rPr>
      <t xml:space="preserve">필드 설계
□ </t>
    </r>
    <r>
      <rPr>
        <i val="true"/>
        <sz val="9"/>
        <color rgb="FF674EA7"/>
        <rFont val="Arial"/>
        <family val="0"/>
        <charset val="1"/>
      </rPr>
      <t xml:space="preserve">[P0] </t>
    </r>
    <r>
      <rPr>
        <i val="true"/>
        <sz val="9"/>
        <color rgb="FF674EA7"/>
        <rFont val="Noto Sans CJK SC"/>
        <family val="2"/>
      </rPr>
      <t xml:space="preserve">날짜 </t>
    </r>
    <r>
      <rPr>
        <i val="true"/>
        <sz val="9"/>
        <color rgb="FF674EA7"/>
        <rFont val="Arial"/>
        <family val="0"/>
        <charset val="1"/>
      </rPr>
      <t xml:space="preserve">5</t>
    </r>
    <r>
      <rPr>
        <i val="true"/>
        <sz val="9"/>
        <color rgb="FF674EA7"/>
        <rFont val="Noto Sans CJK SC"/>
        <family val="2"/>
      </rPr>
      <t xml:space="preserve">종 분리 확정</t>
    </r>
    <r>
      <rPr>
        <i val="true"/>
        <sz val="9"/>
        <color rgb="FF674EA7"/>
        <rFont val="Arial"/>
        <family val="0"/>
        <charset val="1"/>
      </rPr>
      <t xml:space="preserve">(booked_at/check_in/check_out/expected_settlement_at/actual_settlement_at)
□ [P0] ChannelConnection </t>
    </r>
    <r>
      <rPr>
        <i val="true"/>
        <sz val="9"/>
        <color rgb="FF674EA7"/>
        <rFont val="Noto Sans CJK SC"/>
        <family val="2"/>
      </rPr>
      <t xml:space="preserve">모델 설계</t>
    </r>
    <r>
      <rPr>
        <i val="true"/>
        <sz val="9"/>
        <color rgb="FF674EA7"/>
        <rFont val="Arial"/>
        <family val="0"/>
        <charset val="1"/>
      </rPr>
      <t xml:space="preserve">(channel/external_property_id/sync_status/last_synced_at)
□ [P0] ChecklistTemplate.renewal_trigger_type(NONE/EXPIRATION_BASED/EVENT_BASED) </t>
    </r>
    <r>
      <rPr>
        <i val="true"/>
        <sz val="9"/>
        <color rgb="FF674EA7"/>
        <rFont val="Noto Sans CJK SC"/>
        <family val="2"/>
      </rPr>
      <t xml:space="preserve">필드 추가
□ </t>
    </r>
    <r>
      <rPr>
        <i val="true"/>
        <sz val="9"/>
        <color rgb="FF674EA7"/>
        <rFont val="Arial"/>
        <family val="0"/>
        <charset val="1"/>
      </rPr>
      <t xml:space="preserve">ACTION_ITEMS </t>
    </r>
    <r>
      <rPr>
        <i val="true"/>
        <sz val="9"/>
        <color rgb="FF674EA7"/>
        <rFont val="Noto Sans CJK SC"/>
        <family val="2"/>
      </rPr>
      <t xml:space="preserve">중복생성 </t>
    </r>
    <r>
      <rPr>
        <i val="true"/>
        <sz val="9"/>
        <color rgb="FF674EA7"/>
        <rFont val="Arial"/>
        <family val="0"/>
        <charset val="1"/>
      </rPr>
      <t xml:space="preserve">idempotency </t>
    </r>
    <r>
      <rPr>
        <i val="true"/>
        <sz val="9"/>
        <color rgb="FF674EA7"/>
        <rFont val="Noto Sans CJK SC"/>
        <family val="2"/>
      </rPr>
      <t xml:space="preserve">정책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 </t>
    </r>
    <r>
      <rPr>
        <i val="true"/>
        <sz val="9"/>
        <color rgb="FF674EA7"/>
        <rFont val="Arial"/>
        <family val="0"/>
        <charset val="1"/>
      </rPr>
      <t xml:space="preserve">reservation_id+category+OPEN </t>
    </r>
    <r>
      <rPr>
        <i val="true"/>
        <sz val="9"/>
        <color rgb="FF674EA7"/>
        <rFont val="Noto Sans CJK SC"/>
        <family val="2"/>
      </rPr>
      <t xml:space="preserve">재사용</t>
    </r>
    <r>
      <rPr>
        <i val="true"/>
        <sz val="9"/>
        <color rgb="FF674EA7"/>
        <rFont val="Arial"/>
        <family val="0"/>
        <charset val="1"/>
      </rPr>
      <t xml:space="preserve">)
□ risk_level '</t>
    </r>
    <r>
      <rPr>
        <i val="true"/>
        <sz val="9"/>
        <color rgb="FF674EA7"/>
        <rFont val="Noto Sans CJK SC"/>
        <family val="2"/>
      </rPr>
      <t xml:space="preserve">규칙기반 우선순위</t>
    </r>
    <r>
      <rPr>
        <i val="true"/>
        <sz val="9"/>
        <color rgb="FF674EA7"/>
        <rFont val="Arial"/>
        <family val="0"/>
        <charset val="1"/>
      </rPr>
      <t xml:space="preserve">'</t>
    </r>
    <r>
      <rPr>
        <i val="true"/>
        <sz val="9"/>
        <color rgb="FF674EA7"/>
        <rFont val="Noto Sans CJK SC"/>
        <family val="2"/>
      </rPr>
      <t xml:space="preserve">로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법적판단 아님 명시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인덱스 요구사항 목록화</t>
    </r>
    <r>
      <rPr>
        <i val="true"/>
        <sz val="9"/>
        <color rgb="FF674EA7"/>
        <rFont val="Arial"/>
        <family val="0"/>
        <charset val="1"/>
      </rPr>
      <t xml:space="preserve">(property_id </t>
    </r>
    <r>
      <rPr>
        <i val="true"/>
        <sz val="9"/>
        <color rgb="FF674EA7"/>
        <rFont val="Noto Sans CJK SC"/>
        <family val="2"/>
      </rPr>
      <t xml:space="preserve">계열 전체</t>
    </r>
    <r>
      <rPr>
        <i val="true"/>
        <sz val="9"/>
        <color rgb="FF674EA7"/>
        <rFont val="Arial"/>
        <family val="0"/>
        <charset val="1"/>
      </rPr>
      <t xml:space="preserve">+ActionCenter </t>
    </r>
    <r>
      <rPr>
        <i val="true"/>
        <sz val="9"/>
        <color rgb="FF674EA7"/>
        <rFont val="Noto Sans CJK SC"/>
        <family val="2"/>
      </rPr>
      <t xml:space="preserve">복합인덱스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실제생성은 </t>
    </r>
    <r>
      <rPr>
        <i val="true"/>
        <sz val="9"/>
        <color rgb="FF674EA7"/>
        <rFont val="Arial"/>
        <family val="0"/>
        <charset val="1"/>
      </rPr>
      <t xml:space="preserve">9/5)</t>
    </r>
  </si>
  <si>
    <r>
      <rPr>
        <b val="true"/>
        <sz val="10"/>
        <rFont val="Arial"/>
        <family val="0"/>
        <charset val="1"/>
      </rPr>
      <t xml:space="preserve">2026-09-03(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</si>
  <si>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</si>
  <si>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ERD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전체 엔티티 관계도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API Contract(</t>
    </r>
    <r>
      <rPr>
        <i val="true"/>
        <sz val="9"/>
        <color rgb="FF674EA7"/>
        <rFont val="Noto Sans CJK SC"/>
        <family val="2"/>
      </rPr>
      <t xml:space="preserve">엔드포인트 목록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요청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응답 스펙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정의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상태전이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이벤트 구조 다이어그램 정리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예약→청소→정산→알림 연결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</si>
  <si>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2026-09-04(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</si>
  <si>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</si>
  <si>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t xml:space="preserve">-</t>
  </si>
  <si>
    <r>
      <rPr>
        <b val="true"/>
        <sz val="10"/>
        <rFont val="Arial"/>
        <family val="0"/>
        <charset val="1"/>
      </rPr>
      <t xml:space="preserve">2026-09-05(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</si>
  <si>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</si>
  <si>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
□ 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</si>
  <si>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녹화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편집 환경 설정</t>
    </r>
    <r>
      <rPr>
        <i val="true"/>
        <sz val="9"/>
        <color rgb="FF674EA7"/>
        <rFont val="Arial"/>
        <family val="0"/>
        <charset val="1"/>
      </rPr>
      <t xml:space="preserve">(OBS </t>
    </r>
    <r>
      <rPr>
        <i val="true"/>
        <sz val="9"/>
        <color rgb="FF674EA7"/>
        <rFont val="Noto Sans CJK SC"/>
        <family val="2"/>
      </rPr>
      <t xml:space="preserve">설정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편집툴 확정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</si>
  <si>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2026-09-07(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</si>
  <si>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</si>
  <si>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전체 화면목록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로그인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회원가입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단계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캘린더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체크인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가격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컴플라이언스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설정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핵심 화면 와이어프레임 제작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디자인시스템 공통 컴포넌트 정의</t>
    </r>
    <r>
      <rPr>
        <i val="true"/>
        <sz val="9"/>
        <color rgb="FF674EA7"/>
        <rFont val="Arial"/>
        <family val="0"/>
        <charset val="1"/>
      </rPr>
      <t xml:space="preserve">(Header/Sidebar/Card/Badge/Modal/Toast/Loading/EmptyState)</t>
    </r>
  </si>
  <si>
    <r>
      <rPr>
        <b val="true"/>
        <sz val="9"/>
        <color rgb="FFC00000"/>
        <rFont val="Noto Sans CJK SC"/>
        <family val="2"/>
      </rPr>
      <t xml:space="preserve">🌙 연장근무일</t>
    </r>
    <r>
      <rPr>
        <b val="true"/>
        <sz val="9"/>
        <color rgb="FFC00000"/>
        <rFont val="Arial"/>
        <family val="0"/>
        <charset val="1"/>
      </rPr>
      <t xml:space="preserve">(+3h)</t>
    </r>
  </si>
  <si>
    <r>
      <rPr>
        <b val="true"/>
        <sz val="10"/>
        <rFont val="Arial"/>
        <family val="0"/>
        <charset val="1"/>
      </rPr>
      <t xml:space="preserve">2026-09-08(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</si>
  <si>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</si>
  <si>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통합 대시보드 뼈대</t>
    </r>
    <r>
      <rPr>
        <sz val="9"/>
        <rFont val="Arial"/>
        <family val="0"/>
        <charset val="1"/>
      </rPr>
      <t xml:space="preserve">(3~5</t>
    </r>
    <r>
      <rPr>
        <sz val="9"/>
        <rFont val="Noto Sans CJK SC"/>
        <family val="2"/>
      </rPr>
      <t xml:space="preserve">개 숙소 한눈에 보기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</si>
  <si>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2026-09-09(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</si>
  <si>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</si>
  <si>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User Flow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화면간 이동 구조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</si>
  <si>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2026-09-10(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</si>
  <si>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</si>
  <si>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2026-09-11(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</si>
  <si>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</si>
  <si>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2026-09-12(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</si>
  <si>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통합 캘린더 뷰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행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 </t>
    </r>
    <r>
      <rPr>
        <sz val="9"/>
        <rFont val="Noto Sans CJK SC"/>
        <family val="2"/>
      </rPr>
      <t xml:space="preserve">아코디언</t>
    </r>
    <r>
      <rPr>
        <sz val="9"/>
        <rFont val="Arial"/>
        <family val="0"/>
        <charset val="1"/>
      </rPr>
      <t xml:space="preserve">-Bed</t>
    </r>
    <r>
      <rPr>
        <sz val="9"/>
        <rFont val="Noto Sans CJK SC"/>
        <family val="2"/>
      </rPr>
      <t xml:space="preserve">행
□ </t>
    </r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</si>
  <si>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b val="true"/>
        <sz val="10"/>
        <rFont val="Arial"/>
        <family val="0"/>
        <charset val="1"/>
      </rPr>
      <t xml:space="preserve">2026-09-14(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</si>
  <si>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</si>
  <si>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Room </t>
    </r>
    <r>
      <rPr>
        <i val="true"/>
        <sz val="9"/>
        <color rgb="FF674EA7"/>
        <rFont val="Noto Sans CJK SC"/>
        <family val="2"/>
      </rPr>
      <t xml:space="preserve">전체대여시 하위 </t>
    </r>
    <r>
      <rPr>
        <i val="true"/>
        <sz val="9"/>
        <color rgb="FF674EA7"/>
        <rFont val="Arial"/>
        <family val="0"/>
        <charset val="1"/>
      </rPr>
      <t xml:space="preserve">Bed </t>
    </r>
    <r>
      <rPr>
        <i val="true"/>
        <sz val="9"/>
        <color rgb="FF674EA7"/>
        <rFont val="Noto Sans CJK SC"/>
        <family val="2"/>
      </rPr>
      <t xml:space="preserve">전체 블록 인터셉터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호스텔 확장용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</si>
  <si>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2026-09-15(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</si>
  <si>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</si>
  <si>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i val="true"/>
        <sz val="9"/>
        <color rgb="FF674EA7"/>
        <rFont val="Noto Sans CJK SC"/>
        <family val="2"/>
      </rPr>
      <t xml:space="preserve">□ 네이버예약 채널카드 </t>
    </r>
    <r>
      <rPr>
        <i val="true"/>
        <sz val="9"/>
        <color rgb="FF674EA7"/>
        <rFont val="Arial"/>
        <family val="0"/>
        <charset val="1"/>
      </rPr>
      <t xml:space="preserve">UI '</t>
    </r>
    <r>
      <rPr>
        <i val="true"/>
        <sz val="9"/>
        <color rgb="FF674EA7"/>
        <rFont val="Noto Sans CJK SC"/>
        <family val="2"/>
      </rPr>
      <t xml:space="preserve">내보내기 전용</t>
    </r>
    <r>
      <rPr>
        <i val="true"/>
        <sz val="9"/>
        <color rgb="FF674EA7"/>
        <rFont val="Arial"/>
        <family val="0"/>
        <charset val="1"/>
      </rPr>
      <t xml:space="preserve">' </t>
    </r>
    <r>
      <rPr>
        <i val="true"/>
        <sz val="9"/>
        <color rgb="FF674EA7"/>
        <rFont val="Noto Sans CJK SC"/>
        <family val="2"/>
      </rPr>
      <t xml:space="preserve">표시</t>
    </r>
  </si>
  <si>
    <r>
      <rPr>
        <b val="true"/>
        <sz val="10"/>
        <rFont val="Arial"/>
        <family val="0"/>
        <charset val="1"/>
      </rPr>
      <t xml:space="preserve">2026-09-17(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</si>
  <si>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</si>
  <si>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자체 통합 인박스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 채팅 시뮬레이터 </t>
    </r>
    <r>
      <rPr>
        <sz val="9"/>
        <rFont val="Arial"/>
        <family val="0"/>
        <charset val="1"/>
      </rPr>
      <t xml:space="preserve">UI)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</si>
  <si>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b val="true"/>
        <sz val="10"/>
        <rFont val="Arial"/>
        <family val="0"/>
        <charset val="1"/>
      </rPr>
      <t xml:space="preserve">2026-09-18(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</si>
  <si>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</si>
  <si>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2026-09-19(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</si>
  <si>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</si>
  <si>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Noto Sans CJK SC"/>
        <family val="2"/>
      </rPr>
      <t xml:space="preserve">□ 숙소별 </t>
    </r>
    <r>
      <rPr>
        <i val="true"/>
        <sz val="9"/>
        <color rgb="FF674EA7"/>
        <rFont val="Arial"/>
        <family val="0"/>
        <charset val="1"/>
      </rPr>
      <t xml:space="preserve">RAG </t>
    </r>
    <r>
      <rPr>
        <i val="true"/>
        <sz val="9"/>
        <color rgb="FF674EA7"/>
        <rFont val="Noto Sans CJK SC"/>
        <family val="2"/>
      </rPr>
      <t xml:space="preserve">지식베이스 구축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로컬 벡터검색</t>
    </r>
    <r>
      <rPr>
        <i val="true"/>
        <sz val="9"/>
        <color rgb="FF674EA7"/>
        <rFont val="Arial"/>
        <family val="0"/>
        <charset val="1"/>
      </rPr>
      <t xml:space="preserve">, LLM</t>
    </r>
    <r>
      <rPr>
        <i val="true"/>
        <sz val="9"/>
        <color rgb="FF674EA7"/>
        <rFont val="Noto Sans CJK SC"/>
        <family val="2"/>
      </rPr>
      <t xml:space="preserve">비용無</t>
    </r>
    <r>
      <rPr>
        <i val="true"/>
        <sz val="9"/>
        <color rgb="FF674EA7"/>
        <rFont val="Arial"/>
        <family val="0"/>
        <charset val="1"/>
      </rPr>
      <t xml:space="preserve">) + property_id </t>
    </r>
    <r>
      <rPr>
        <i val="true"/>
        <sz val="9"/>
        <color rgb="FF674EA7"/>
        <rFont val="Noto Sans CJK SC"/>
        <family val="2"/>
      </rPr>
      <t xml:space="preserve">스코프 격리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개발용 응답캐시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동일질문 반복시 </t>
    </r>
    <r>
      <rPr>
        <i val="true"/>
        <sz val="9"/>
        <color rgb="FF674EA7"/>
        <rFont val="Arial"/>
        <family val="0"/>
        <charset val="1"/>
      </rPr>
      <t xml:space="preserve">API </t>
    </r>
    <r>
      <rPr>
        <i val="true"/>
        <sz val="9"/>
        <color rgb="FF674EA7"/>
        <rFont val="Noto Sans CJK SC"/>
        <family val="2"/>
      </rPr>
      <t xml:space="preserve">미호출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</si>
  <si>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</si>
  <si>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</si>
  <si>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2026-09-22(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</si>
  <si>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</si>
  <si>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b val="true"/>
        <sz val="10"/>
        <rFont val="Arial"/>
        <family val="0"/>
        <charset val="1"/>
      </rPr>
      <t xml:space="preserve">2026-09-23(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</si>
  <si>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
□ </t>
    </r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</si>
  <si>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2026-09-26(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</si>
  <si>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체크아웃 안내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리뷰요청 자동화</t>
    </r>
  </si>
  <si>
    <r>
      <rPr>
        <i val="true"/>
        <sz val="9"/>
        <color rgb="FF674EA7"/>
        <rFont val="Noto Sans CJK SC"/>
        <family val="2"/>
      </rPr>
      <t xml:space="preserve">□ 위험도 분류 적용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자동</t>
    </r>
    <r>
      <rPr>
        <i val="true"/>
        <sz val="9"/>
        <color rgb="FF674EA7"/>
        <rFont val="Arial"/>
        <family val="0"/>
        <charset val="1"/>
      </rPr>
      <t xml:space="preserve">:</t>
    </r>
    <r>
      <rPr>
        <i val="true"/>
        <sz val="9"/>
        <color rgb="FF674EA7"/>
        <rFont val="Noto Sans CJK SC"/>
        <family val="2"/>
      </rPr>
      <t xml:space="preserve">와이파이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체크인시간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주차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비번 </t>
    </r>
    <r>
      <rPr>
        <i val="true"/>
        <sz val="9"/>
        <color rgb="FF674EA7"/>
        <rFont val="Arial"/>
        <family val="0"/>
        <charset val="1"/>
      </rPr>
      <t xml:space="preserve">vs </t>
    </r>
    <r>
      <rPr>
        <i val="true"/>
        <sz val="9"/>
        <color rgb="FF674EA7"/>
        <rFont val="Noto Sans CJK SC"/>
        <family val="2"/>
      </rPr>
      <t xml:space="preserve">승인필요</t>
    </r>
    <r>
      <rPr>
        <i val="true"/>
        <sz val="9"/>
        <color rgb="FF674EA7"/>
        <rFont val="Arial"/>
        <family val="0"/>
        <charset val="1"/>
      </rPr>
      <t xml:space="preserve">:</t>
    </r>
    <r>
      <rPr>
        <i val="true"/>
        <sz val="9"/>
        <color rgb="FF674EA7"/>
        <rFont val="Noto Sans CJK SC"/>
        <family val="2"/>
      </rPr>
      <t xml:space="preserve">환불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변경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할인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보상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민원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고장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안전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</si>
  <si>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2026-09-28(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</si>
  <si>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,4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</si>
  <si>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</si>
  <si>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r>
      <rPr>
        <b val="true"/>
        <sz val="10"/>
        <rFont val="Arial"/>
        <family val="0"/>
        <charset val="1"/>
      </rPr>
      <t xml:space="preserve">2026-09-29(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</si>
  <si>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</si>
  <si>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예약확정시 임시 비밀번호 자동생성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만료 로직
□ 스마트락 </t>
    </r>
    <r>
      <rPr>
        <sz val="9"/>
        <rFont val="Arial"/>
        <family val="0"/>
        <charset val="1"/>
      </rPr>
      <t xml:space="preserve">100% Mock </t>
    </r>
    <r>
      <rPr>
        <sz val="9"/>
        <rFont val="Noto Sans CJK SC"/>
        <family val="2"/>
      </rPr>
      <t xml:space="preserve">확정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표시</t>
    </r>
  </si>
  <si>
    <r>
      <rPr>
        <b val="true"/>
        <sz val="10"/>
        <rFont val="Arial"/>
        <family val="0"/>
        <charset val="1"/>
      </rPr>
      <t xml:space="preserve">2026-09-30(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</si>
  <si>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</si>
  <si>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2026-10-01(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</si>
  <si>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</si>
  <si>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</si>
  <si>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개인정보 최소수집 원칙 점검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게스트데이터</t>
    </r>
    <r>
      <rPr>
        <i val="true"/>
        <sz val="9"/>
        <color rgb="FF674EA7"/>
        <rFont val="Arial"/>
        <family val="0"/>
        <charset val="1"/>
      </rPr>
      <t xml:space="preserve">-RAG</t>
    </r>
    <r>
      <rPr>
        <i val="true"/>
        <sz val="9"/>
        <color rgb="FF674EA7"/>
        <rFont val="Noto Sans CJK SC"/>
        <family val="2"/>
      </rPr>
      <t xml:space="preserve">데이터 분리 확인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</si>
  <si>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2026-10-02(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</si>
  <si>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</si>
  <si>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예약변경시 청소시간 자동 재계산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시드 스크립트 실행 및 데이터 정상 반영 확인</t>
    </r>
  </si>
  <si>
    <r>
      <rPr>
        <i val="true"/>
        <sz val="9"/>
        <color rgb="FF674EA7"/>
        <rFont val="Noto Sans CJK SC"/>
        <family val="2"/>
      </rPr>
      <t xml:space="preserve">□ 청소 상태머신 구현</t>
    </r>
    <r>
      <rPr>
        <i val="true"/>
        <sz val="9"/>
        <color rgb="FF674EA7"/>
        <rFont val="Arial"/>
        <family val="0"/>
        <charset val="1"/>
      </rPr>
      <t xml:space="preserve">(PENDING→ASSIGNED→IN_PROGRESS→COMPLETED→VERIFIED/ISSUE)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데모 시드 데이터 스크립트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호스트</t>
    </r>
    <r>
      <rPr>
        <i val="true"/>
        <sz val="9"/>
        <color rgb="FF674EA7"/>
        <rFont val="Arial"/>
        <family val="0"/>
        <charset val="1"/>
      </rPr>
      <t xml:space="preserve">1+</t>
    </r>
    <r>
      <rPr>
        <i val="true"/>
        <sz val="9"/>
        <color rgb="FF674EA7"/>
        <rFont val="Noto Sans CJK SC"/>
        <family val="2"/>
      </rPr>
      <t xml:space="preserve">숙소</t>
    </r>
    <r>
      <rPr>
        <i val="true"/>
        <sz val="9"/>
        <color rgb="FF674EA7"/>
        <rFont val="Arial"/>
        <family val="0"/>
        <charset val="1"/>
      </rPr>
      <t xml:space="preserve">3+</t>
    </r>
    <r>
      <rPr>
        <i val="true"/>
        <sz val="9"/>
        <color rgb="FF674EA7"/>
        <rFont val="Noto Sans CJK SC"/>
        <family val="2"/>
      </rPr>
      <t xml:space="preserve">예약</t>
    </r>
    <r>
      <rPr>
        <i val="true"/>
        <sz val="9"/>
        <color rgb="FF674EA7"/>
        <rFont val="Arial"/>
        <family val="0"/>
        <charset val="1"/>
      </rPr>
      <t xml:space="preserve">15~20</t>
    </r>
    <r>
      <rPr>
        <i val="true"/>
        <sz val="9"/>
        <color rgb="FF674EA7"/>
        <rFont val="Noto Sans CJK SC"/>
        <family val="2"/>
      </rPr>
      <t xml:space="preserve">건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문의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긴급알림 시나리오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발표 시점 기준 상대시간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체크인 </t>
    </r>
    <r>
      <rPr>
        <i val="true"/>
        <sz val="9"/>
        <color rgb="FF674EA7"/>
        <rFont val="Arial"/>
        <family val="0"/>
        <charset val="1"/>
      </rPr>
      <t xml:space="preserve">D-1.5</t>
    </r>
    <r>
      <rPr>
        <i val="true"/>
        <sz val="9"/>
        <color rgb="FF674EA7"/>
        <rFont val="Noto Sans CJK SC"/>
        <family val="2"/>
      </rPr>
      <t xml:space="preserve">시간 등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자동계산 로직 포함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</si>
  <si>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2026-10-03(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</si>
  <si>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문자</t>
    </r>
    <r>
      <rPr>
        <sz val="9"/>
        <rFont val="Arial"/>
        <family val="0"/>
        <charset val="1"/>
      </rPr>
      <t xml:space="preserve">API(</t>
    </r>
    <r>
      <rPr>
        <sz val="9"/>
        <rFont val="Noto Sans CJK SC"/>
        <family val="2"/>
      </rPr>
      <t xml:space="preserve">알리고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청소업체 알림 자동발송
□ 체크리스트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사진업로드 완료확인</t>
    </r>
    <r>
      <rPr>
        <sz val="9"/>
        <rFont val="Arial"/>
        <family val="0"/>
        <charset val="1"/>
      </rPr>
      <t xml:space="preserve">(VERIFIED 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</si>
  <si>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i val="true"/>
        <sz val="9"/>
        <color rgb="FF674EA7"/>
        <rFont val="Noto Sans CJK SC"/>
        <family val="2"/>
      </rPr>
      <t xml:space="preserve">□ 호스텔 객실</t>
    </r>
    <r>
      <rPr>
        <i val="true"/>
        <sz val="9"/>
        <color rgb="FF674EA7"/>
        <rFont val="Arial"/>
        <family val="0"/>
        <charset val="1"/>
      </rPr>
      <t xml:space="preserve">(Room)</t>
    </r>
    <r>
      <rPr>
        <i val="true"/>
        <sz val="9"/>
        <color rgb="FF674EA7"/>
        <rFont val="Noto Sans CJK SC"/>
        <family val="2"/>
      </rPr>
      <t xml:space="preserve">단위 정비 체크리스트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비품부족 체크박스</t>
    </r>
  </si>
  <si>
    <r>
      <rPr>
        <b val="true"/>
        <sz val="10"/>
        <rFont val="Arial"/>
        <family val="0"/>
        <charset val="1"/>
      </rPr>
      <t xml:space="preserve">2026-10-05(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</si>
  <si>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</si>
  <si>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
□ 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
□ 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
□ 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</si>
  <si>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Noto Sans CJK SC"/>
        <family val="2"/>
      </rPr>
      <t xml:space="preserve">□ 채널별 수수료 템플릿 설계</t>
    </r>
    <r>
      <rPr>
        <i val="true"/>
        <sz val="9"/>
        <color rgb="FF674EA7"/>
        <rFont val="Arial"/>
        <family val="0"/>
        <charset val="1"/>
      </rPr>
      <t xml:space="preserve">(Airbnb 15.5%, Booking.com 15~18% </t>
    </r>
    <r>
      <rPr>
        <i val="true"/>
        <sz val="9"/>
        <color rgb="FF674EA7"/>
        <rFont val="Noto Sans CJK SC"/>
        <family val="2"/>
      </rPr>
      <t xml:space="preserve">등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</si>
  <si>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2026-10-06(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</si>
  <si>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
□ 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
□ 🔴🟡🟢 통합 위젯 대시보드 구현
□ 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</t>
    </r>
  </si>
  <si>
    <r>
      <rPr>
        <i val="true"/>
        <sz val="9"/>
        <color rgb="FF674EA7"/>
        <rFont val="Noto Sans CJK SC"/>
        <family val="2"/>
      </rPr>
      <t xml:space="preserve">□ 예약임박도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잔여객실 반영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기존 </t>
    </r>
    <r>
      <rPr>
        <i val="true"/>
        <sz val="9"/>
        <color rgb="FF674EA7"/>
        <rFont val="Arial"/>
        <family val="0"/>
        <charset val="1"/>
      </rPr>
      <t xml:space="preserve">iCal</t>
    </r>
    <r>
      <rPr>
        <i val="true"/>
        <sz val="9"/>
        <color rgb="FF674EA7"/>
        <rFont val="Noto Sans CJK SC"/>
        <family val="2"/>
      </rPr>
      <t xml:space="preserve">데이터 활용</t>
    </r>
    <r>
      <rPr>
        <i val="true"/>
        <sz val="9"/>
        <color rgb="FF674EA7"/>
        <rFont val="Arial"/>
        <family val="0"/>
        <charset val="1"/>
      </rPr>
      <t xml:space="preserve">)
□ Action Center </t>
    </r>
    <r>
      <rPr>
        <i val="true"/>
        <sz val="9"/>
        <color rgb="FF674EA7"/>
        <rFont val="Noto Sans CJK SC"/>
        <family val="2"/>
      </rPr>
      <t xml:space="preserve">규칙기반 트리거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최종스펙 규칙표 그대로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</si>
  <si>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2026-10-07(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</si>
  <si>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</si>
  <si>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
□ </t>
    </r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</si>
  <si>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i val="true"/>
        <sz val="9"/>
        <color rgb="FF674EA7"/>
        <rFont val="Arial"/>
        <family val="0"/>
        <charset val="1"/>
      </rPr>
      <t xml:space="preserve">□ Clipchamp 10</t>
    </r>
    <r>
      <rPr>
        <i val="true"/>
        <sz val="9"/>
        <color rgb="FF674EA7"/>
        <rFont val="Noto Sans CJK SC"/>
        <family val="2"/>
      </rPr>
      <t xml:space="preserve">분 더미 영상 내보내기 테스트
□ 숙박업 유형별 체크리스트 정적 </t>
    </r>
    <r>
      <rPr>
        <i val="true"/>
        <sz val="9"/>
        <color rgb="FF674EA7"/>
        <rFont val="Arial"/>
        <family val="0"/>
        <charset val="1"/>
      </rPr>
      <t xml:space="preserve">JSON </t>
    </r>
    <r>
      <rPr>
        <i val="true"/>
        <sz val="9"/>
        <color rgb="FF674EA7"/>
        <rFont val="Noto Sans CJK SC"/>
        <family val="2"/>
      </rPr>
      <t xml:space="preserve">템플릿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법정명칭 정확표기
□ 업종별 킬러요건 </t>
    </r>
    <r>
      <rPr>
        <i val="true"/>
        <sz val="9"/>
        <color rgb="FF674EA7"/>
        <rFont val="Arial"/>
        <family val="0"/>
        <charset val="1"/>
      </rPr>
      <t xml:space="preserve">1~2</t>
    </r>
    <r>
      <rPr>
        <i val="true"/>
        <sz val="9"/>
        <color rgb="FF674EA7"/>
        <rFont val="Noto Sans CJK SC"/>
        <family val="2"/>
      </rPr>
      <t xml:space="preserve">개 노출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여권보관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수질검사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소방안전관리자 등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영상 대본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콘티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 흐름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나레이션 포인트 먼저 잡기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최종 코드 완성 전에도 가능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</si>
  <si>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2026-10-08(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</si>
  <si>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</si>
  <si>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
□ 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</si>
  <si>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README.md </t>
    </r>
    <r>
      <rPr>
        <i val="true"/>
        <sz val="9"/>
        <color rgb="FF674EA7"/>
        <rFont val="Noto Sans CJK SC"/>
        <family val="2"/>
      </rPr>
      <t xml:space="preserve">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소개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설치법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환경변수</t>
    </r>
    <r>
      <rPr>
        <i val="true"/>
        <sz val="9"/>
        <color rgb="FF674EA7"/>
        <rFont val="Arial"/>
        <family val="0"/>
        <charset val="1"/>
      </rPr>
      <t xml:space="preserve">/Demo</t>
    </r>
    <r>
      <rPr>
        <i val="true"/>
        <sz val="9"/>
        <color rgb="FF674EA7"/>
        <rFont val="Noto Sans CJK SC"/>
        <family val="2"/>
      </rPr>
      <t xml:space="preserve">계정</t>
    </r>
    <r>
      <rPr>
        <i val="true"/>
        <sz val="9"/>
        <color rgb="FF674EA7"/>
        <rFont val="Arial"/>
        <family val="0"/>
        <charset val="1"/>
      </rPr>
      <t xml:space="preserve">/Real·Mock</t>
    </r>
    <r>
      <rPr>
        <i val="true"/>
        <sz val="9"/>
        <color rgb="FF674EA7"/>
        <rFont val="Noto Sans CJK SC"/>
        <family val="2"/>
      </rPr>
      <t xml:space="preserve">범위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설명문서 최종본 정리</t>
    </r>
    <r>
      <rPr>
        <i val="true"/>
        <sz val="9"/>
        <color rgb="FF674EA7"/>
        <rFont val="Arial"/>
        <family val="0"/>
        <charset val="1"/>
      </rPr>
      <t xml:space="preserve">(9/3 </t>
    </r>
    <r>
      <rPr>
        <i val="true"/>
        <sz val="9"/>
        <color rgb="FF674EA7"/>
        <rFont val="Noto Sans CJK SC"/>
        <family val="2"/>
      </rPr>
      <t xml:space="preserve">기획서 확장판</t>
    </r>
    <r>
      <rPr>
        <i val="true"/>
        <sz val="9"/>
        <color rgb="FF674EA7"/>
        <rFont val="Arial"/>
        <family val="0"/>
        <charset val="1"/>
      </rPr>
      <t xml:space="preserve">: </t>
    </r>
    <r>
      <rPr>
        <i val="true"/>
        <sz val="9"/>
        <color rgb="FF674EA7"/>
        <rFont val="Noto Sans CJK SC"/>
        <family val="2"/>
      </rPr>
      <t xml:space="preserve">배경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사용법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</si>
  <si>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2026-10-09(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</si>
  <si>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
□ </t>
    </r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
□ 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</si>
  <si>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화면 녹화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음성 나레이션 녹음</t>
    </r>
  </si>
  <si>
    <r>
      <rPr>
        <b val="true"/>
        <sz val="10"/>
        <rFont val="Arial"/>
        <family val="0"/>
        <charset val="1"/>
      </rPr>
      <t xml:space="preserve">2026-10-10(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</si>
  <si>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</si>
  <si>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아침 검토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전날 녹화분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재촬영 필요분 파악
□ 최종 포맷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용량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백업본 준비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최종 제출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설명문서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소스코드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최종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외부마감 </t>
    </r>
    <r>
      <rPr>
        <sz val="9"/>
        <rFont val="Arial"/>
        <family val="0"/>
        <charset val="1"/>
      </rPr>
      <t xml:space="preserve">10/10)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</si>
  <si>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영상 편집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컷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자막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전환</t>
    </r>
    <r>
      <rPr>
        <i val="true"/>
        <sz val="9"/>
        <color rgb="FF674EA7"/>
        <rFont val="Arial"/>
        <family val="0"/>
        <charset val="1"/>
      </rPr>
      <t xml:space="preserve">/BGM) + </t>
    </r>
    <r>
      <rPr>
        <i val="true"/>
        <sz val="9"/>
        <color rgb="FF674EA7"/>
        <rFont val="Noto Sans CJK SC"/>
        <family val="2"/>
      </rPr>
      <t xml:space="preserve">렌더링</t>
    </r>
  </si>
  <si>
    <r>
      <rPr>
        <b val="true"/>
        <sz val="10"/>
        <rFont val="Arial"/>
        <family val="0"/>
        <charset val="1"/>
      </rPr>
      <t xml:space="preserve">2026-10-11(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</si>
  <si>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</si>
  <si>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</si>
  <si>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일자별 실행리스트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구분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파일위치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핵심포인트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주의점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확인방법</t>
    </r>
    <r>
      <rPr>
        <b val="true"/>
        <sz val="16"/>
        <color rgb="FF1F4E78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</si>
  <si>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담당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활용도구</t>
    </r>
  </si>
  <si>
    <t xml:space="preserve">파일 위치</t>
  </si>
  <si>
    <t xml:space="preserve">가장 중요한 포인트</t>
  </si>
  <si>
    <t xml:space="preserve">주의할 점</t>
  </si>
  <si>
    <t xml:space="preserve">완벽 확인방법</t>
  </si>
  <si>
    <r>
      <rPr>
        <sz val="9"/>
        <rFont val="Arial"/>
        <family val="0"/>
        <charset val="1"/>
      </rPr>
      <t xml:space="preserve">2026-08-31(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</si>
  <si>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</t>
    </r>
  </si>
  <si>
    <t xml:space="preserve">문서확인</t>
  </si>
  <si>
    <r>
      <rPr>
        <sz val="9"/>
        <rFont val="Noto Sans CJK SC"/>
        <family val="2"/>
      </rPr>
      <t xml:space="preserve">데이터모델 설계</t>
    </r>
    <r>
      <rPr>
        <sz val="9"/>
        <rFont val="Arial"/>
        <family val="0"/>
        <charset val="1"/>
      </rPr>
      <t xml:space="preserve">(P0)</t>
    </r>
  </si>
  <si>
    <r>
      <rPr>
        <sz val="9"/>
        <rFont val="Arial"/>
        <family val="0"/>
        <charset val="1"/>
      </rPr>
      <t xml:space="preserve">Host-Property-Room-Bed </t>
    </r>
    <r>
      <rPr>
        <sz val="9"/>
        <rFont val="Noto Sans CJK SC"/>
        <family val="2"/>
      </rPr>
      <t xml:space="preserve">계층 스키마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모두 </t>
    </r>
    <r>
      <rPr>
        <sz val="9"/>
        <rFont val="Arial"/>
        <family val="0"/>
        <charset val="1"/>
      </rPr>
      <t xml:space="preserve">optional)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</si>
  <si>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콘텐츠보조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</si>
  <si>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(2.1~2.4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</si>
  <si>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룸통대여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와 호스텔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개별실판매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하나의 구조로 동시 표현하는 것이 핵심 차별화</t>
    </r>
  </si>
  <si>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</si>
  <si>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단위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</t>
    </r>
    <r>
      <rPr>
        <sz val="9"/>
        <rFont val="Noto Sans CJK SC"/>
        <family val="2"/>
      </rPr>
      <t xml:space="preserve">단위 두 시나리오 모두 예약 생성이 가능한지 확인</t>
    </r>
  </si>
  <si>
    <r>
      <rPr>
        <sz val="9"/>
        <rFont val="Arial"/>
        <family val="0"/>
        <charset val="1"/>
      </rPr>
      <t xml:space="preserve">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</si>
  <si>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</si>
  <si>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</si>
  <si>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명세서에 이미 결정된 내용을 그대로 반영하는 단계 — 새로 고민하지 않는다</t>
    </r>
  </si>
  <si>
    <r>
      <rPr>
        <sz val="9"/>
        <rFont val="Noto Sans CJK SC"/>
        <family val="2"/>
      </rPr>
      <t xml:space="preserve">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</si>
  <si>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해당 섹션과 실제 반영내용을 나란히 놓고 비교</t>
    </r>
  </si>
  <si>
    <r>
      <rPr>
        <sz val="9"/>
        <rFont val="Arial"/>
        <family val="0"/>
        <charset val="1"/>
      </rPr>
      <t xml:space="preserve">Property.accommodation_type </t>
    </r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필드 확정</t>
    </r>
  </si>
  <si>
    <r>
      <rPr>
        <sz val="9"/>
        <rFont val="Arial"/>
        <family val="0"/>
        <charset val="1"/>
      </rPr>
      <t xml:space="preserve">docs/3rd_host_ai_db_spec_v1.md (1. ENUM </t>
    </r>
    <r>
      <rPr>
        <sz val="9"/>
        <rFont val="Noto Sans CJK SC"/>
        <family val="2"/>
      </rPr>
      <t xml:space="preserve">타입 정의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</si>
  <si>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ENUM(</t>
    </r>
    <r>
      <rPr>
        <sz val="9"/>
        <rFont val="Noto Sans CJK SC"/>
        <family val="2"/>
      </rPr>
      <t xml:space="preserve">한 공간에 복수 숙박업 유형 등록은 법적으로 불가능하다고 확인됨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</si>
  <si>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</si>
  <si>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정의와 실제 반영값을 한 글자씩 </t>
    </r>
    <r>
      <rPr>
        <sz val="9"/>
        <rFont val="Arial"/>
        <family val="0"/>
        <charset val="1"/>
      </rPr>
      <t xml:space="preserve">diff </t>
    </r>
    <r>
      <rPr>
        <sz val="9"/>
        <rFont val="Noto Sans CJK SC"/>
        <family val="2"/>
      </rPr>
      <t xml:space="preserve">비교</t>
    </r>
  </si>
  <si>
    <r>
      <rPr>
        <sz val="9"/>
        <rFont val="Arial"/>
        <family val="0"/>
        <charset val="1"/>
      </rPr>
      <t xml:space="preserve">2026-09-01(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</si>
  <si>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Reservation.bookable_unit_type(PROPERTY/ROOM/BED) </t>
    </r>
    <r>
      <rPr>
        <sz val="9"/>
        <rFont val="Noto Sans CJK SC"/>
        <family val="2"/>
      </rPr>
      <t xml:space="preserve">설계</t>
    </r>
  </si>
  <si>
    <t xml:space="preserve">docs/3rd_host_ai_db_spec_v1.md (2.2 PROPERTIES / 2.6 RESERVATIONS)</t>
  </si>
  <si>
    <r>
      <rPr>
        <sz val="9"/>
        <rFont val="Arial"/>
        <family val="0"/>
        <charset val="1"/>
      </rPr>
      <t xml:space="preserve">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</t>
    </r>
  </si>
  <si>
    <r>
      <rPr>
        <sz val="9"/>
        <rFont val="Noto Sans CJK SC"/>
        <family val="2"/>
      </rPr>
      <t xml:space="preserve">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</si>
  <si>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r>
      <rPr>
        <sz val="9"/>
        <rFont val="Arial"/>
        <family val="0"/>
        <charset val="1"/>
      </rPr>
      <t xml:space="preserve">bookable_unit_type=PROPERTY</t>
    </r>
    <r>
      <rPr>
        <sz val="9"/>
        <rFont val="Noto Sans CJK SC"/>
        <family val="2"/>
      </rPr>
      <t xml:space="preserve">인데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가 채워진 예약을 일부러 넣어보고 애플리케이션이 막는지 테스트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</si>
  <si>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예약시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로직 정의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실제케이스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</si>
  <si>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(2.6.1 </t>
    </r>
    <r>
      <rPr>
        <sz val="9"/>
        <rFont val="Noto Sans CJK SC"/>
        <family val="2"/>
      </rPr>
      <t xml:space="preserve">예약 겹침 방지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</si>
  <si>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룸숙소의 실제 운영형태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반영하는 핵심 로직</t>
    </r>
  </si>
  <si>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</si>
  <si>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 전체예약 확정 후 그 중 방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별도 예약 시도 → 반드시 차단되는지 확인</t>
    </r>
  </si>
  <si>
    <r>
      <rPr>
        <sz val="9"/>
        <rFont val="Arial"/>
        <family val="0"/>
        <charset val="1"/>
      </rPr>
      <t xml:space="preserve">reservation_status / refund_status </t>
    </r>
    <r>
      <rPr>
        <sz val="9"/>
        <rFont val="Noto Sans CJK SC"/>
        <family val="2"/>
      </rPr>
      <t xml:space="preserve">분리 설계</t>
    </r>
  </si>
  <si>
    <r>
      <rPr>
        <sz val="9"/>
        <rFont val="Arial"/>
        <family val="0"/>
        <charset val="1"/>
      </rPr>
      <t xml:space="preserve">docs/3rd_host_ai_db_spec_v1.md (2.6 RESERVATIONS </t>
    </r>
    <r>
      <rPr>
        <sz val="9"/>
        <rFont val="Noto Sans CJK SC"/>
        <family val="2"/>
      </rPr>
      <t xml:space="preserve">컬럼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</si>
  <si>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</t>
    </r>
  </si>
  <si>
    <r>
      <rPr>
        <sz val="9"/>
        <rFont val="Noto Sans CJK SC"/>
        <family val="2"/>
      </rPr>
      <t xml:space="preserve">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</si>
  <si>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COMPLETED+PARTIAL </t>
    </r>
    <r>
      <rPr>
        <sz val="9"/>
        <rFont val="Noto Sans CJK SC"/>
        <family val="2"/>
      </rPr>
      <t xml:space="preserve">조합을 실제로 저장해보고 정상 저장되는지 확인</t>
    </r>
  </si>
  <si>
    <r>
      <rPr>
        <sz val="9"/>
        <rFont val="Arial"/>
        <family val="0"/>
        <charset val="1"/>
      </rPr>
      <t xml:space="preserve">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</si>
  <si>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</t>
    </r>
  </si>
  <si>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</si>
  <si>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r>
      <rPr>
        <sz val="9"/>
        <rFont val="Noto Sans CJK SC"/>
        <family val="2"/>
      </rPr>
      <t xml:space="preserve">유효하지 않은 조합</t>
    </r>
    <r>
      <rPr>
        <sz val="9"/>
        <rFont val="Arial"/>
        <family val="0"/>
        <charset val="1"/>
      </rPr>
      <t xml:space="preserve">(bed_id</t>
    </r>
    <r>
      <rPr>
        <sz val="9"/>
        <rFont val="Noto Sans CJK SC"/>
        <family val="2"/>
      </rPr>
      <t xml:space="preserve">만 있고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NULL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 INSERT </t>
    </r>
    <r>
      <rPr>
        <sz val="9"/>
        <rFont val="Noto Sans CJK SC"/>
        <family val="2"/>
      </rPr>
      <t xml:space="preserve">시도 →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거부하는지</t>
    </r>
  </si>
  <si>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</si>
  <si>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t xml:space="preserve">docs/3rd_host_ai_db_spec_v1.md (2.3 ROOMS / 2.4 BEDS / 2.6 RESERVATIONS (A))</t>
  </si>
  <si>
    <r>
      <rPr>
        <sz val="9"/>
        <rFont val="Noto Sans CJK SC"/>
        <family val="2"/>
      </rPr>
      <t xml:space="preserve">다른 숙소 소속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을 잘못 참조하는 데이터오염을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원천 차단</t>
    </r>
  </si>
  <si>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</si>
  <si>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Arial"/>
        <family val="0"/>
        <charset val="1"/>
      </rPr>
      <t xml:space="preserve">Property A </t>
    </r>
    <r>
      <rPr>
        <sz val="9"/>
        <rFont val="Noto Sans CJK SC"/>
        <family val="2"/>
      </rPr>
      <t xml:space="preserve">소속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Property B</t>
    </r>
    <r>
      <rPr>
        <sz val="9"/>
        <rFont val="Noto Sans CJK SC"/>
        <family val="2"/>
      </rPr>
      <t xml:space="preserve">의 예약에 넣어보고 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위반으로 거부되는지 확인</t>
    </r>
  </si>
  <si>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복합제약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종 확정</t>
    </r>
    <r>
      <rPr>
        <sz val="9"/>
        <rFont val="Arial"/>
        <family val="0"/>
        <charset val="1"/>
      </rPr>
      <t xml:space="preserve">(channel_connection_id+external_uid / property_id+target_month / property_id+channel)</t>
    </r>
  </si>
  <si>
    <r>
      <rPr>
        <sz val="9"/>
        <rFont val="Arial"/>
        <family val="0"/>
        <charset val="1"/>
      </rPr>
      <t xml:space="preserve">docs/3rd_host_ai_db_spec_v1.md (2.5 / 2.6 / 2.8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</si>
  <si>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플랫폼별 예약</t>
    </r>
    <r>
      <rPr>
        <sz val="9"/>
        <rFont val="Arial"/>
        <family val="0"/>
        <charset val="1"/>
      </rPr>
      <t xml:space="preserve">UID/</t>
    </r>
    <r>
      <rPr>
        <sz val="9"/>
        <rFont val="Noto Sans CJK SC"/>
        <family val="2"/>
      </rPr>
      <t xml:space="preserve">월별정산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채널연결 각각 중복 방지</t>
    </r>
  </si>
  <si>
    <r>
      <rPr>
        <sz val="9"/>
        <rFont val="Noto Sans CJK SC"/>
        <family val="2"/>
      </rPr>
      <t xml:space="preserve">채널당 연결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제한은 이번 </t>
    </r>
    <r>
      <rPr>
        <sz val="9"/>
        <rFont val="Arial"/>
        <family val="0"/>
        <charset val="1"/>
      </rPr>
      <t xml:space="preserve">MVP </t>
    </r>
    <r>
      <rPr>
        <sz val="9"/>
        <rFont val="Noto Sans CJK SC"/>
        <family val="2"/>
      </rPr>
      <t xml:space="preserve">한정 — 향후 여러 리스팅 대응은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과제</t>
    </r>
  </si>
  <si>
    <r>
      <rPr>
        <sz val="9"/>
        <rFont val="Noto Sans CJK SC"/>
        <family val="2"/>
      </rPr>
      <t xml:space="preserve">같은 </t>
    </r>
    <r>
      <rPr>
        <sz val="9"/>
        <rFont val="Arial"/>
        <family val="0"/>
        <charset val="1"/>
      </rPr>
      <t xml:space="preserve">property+channel </t>
    </r>
    <r>
      <rPr>
        <sz val="9"/>
        <rFont val="Noto Sans CJK SC"/>
        <family val="2"/>
      </rPr>
      <t xml:space="preserve">조합을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번 생성 시도했을 때 에러가 나는지 확인</t>
    </r>
  </si>
  <si>
    <r>
      <rPr>
        <sz val="9"/>
        <rFont val="Arial"/>
        <family val="0"/>
        <charset val="1"/>
      </rPr>
      <t xml:space="preserve">INQUIRY_RESPONSES 1:N + is_latest </t>
    </r>
    <r>
      <rPr>
        <sz val="9"/>
        <rFont val="Noto Sans CJK SC"/>
        <family val="2"/>
      </rPr>
      <t xml:space="preserve">플래그 설계 확정</t>
    </r>
  </si>
  <si>
    <t xml:space="preserve">docs/3rd_host_ai_db_spec_v1.md (2.12 INQUIRY_RESPONSES)</t>
  </si>
  <si>
    <r>
      <rPr>
        <sz val="9"/>
        <rFont val="Noto Sans CJK SC"/>
        <family val="2"/>
      </rPr>
      <t xml:space="preserve">재시도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재답변 이력을 보존하는 </t>
    </r>
    <r>
      <rPr>
        <sz val="9"/>
        <rFont val="Arial"/>
        <family val="0"/>
        <charset val="1"/>
      </rPr>
      <t xml:space="preserve">1:N + is_latest </t>
    </r>
    <r>
      <rPr>
        <sz val="9"/>
        <rFont val="Noto Sans CJK SC"/>
        <family val="2"/>
      </rPr>
      <t xml:space="preserve">구조</t>
    </r>
  </si>
  <si>
    <r>
      <rPr>
        <sz val="9"/>
        <rFont val="Noto Sans CJK SC"/>
        <family val="2"/>
      </rPr>
      <t xml:space="preserve">새 응답을 만들 때 기존 </t>
    </r>
    <r>
      <rPr>
        <sz val="9"/>
        <rFont val="Arial"/>
        <family val="0"/>
        <charset val="1"/>
      </rPr>
      <t xml:space="preserve">is_latest</t>
    </r>
    <r>
      <rPr>
        <sz val="9"/>
        <rFont val="Noto Sans CJK SC"/>
        <family val="2"/>
      </rPr>
      <t xml:space="preserve">를 먼저 </t>
    </r>
    <r>
      <rPr>
        <sz val="9"/>
        <rFont val="Arial"/>
        <family val="0"/>
        <charset val="1"/>
      </rPr>
      <t xml:space="preserve">false</t>
    </r>
    <r>
      <rPr>
        <sz val="9"/>
        <rFont val="Noto Sans CJK SC"/>
        <family val="2"/>
      </rPr>
      <t xml:space="preserve">로 바꾸는 걸 빠뜨리면 부분</t>
    </r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인덱스 위반 에러 발생</t>
    </r>
  </si>
  <si>
    <r>
      <rPr>
        <sz val="9"/>
        <rFont val="Noto Sans CJK SC"/>
        <family val="2"/>
      </rPr>
      <t xml:space="preserve">같은 문의에 응답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번 생성 후 </t>
    </r>
    <r>
      <rPr>
        <sz val="9"/>
        <rFont val="Arial"/>
        <family val="0"/>
        <charset val="1"/>
      </rPr>
      <t xml:space="preserve">is_latest=true</t>
    </r>
    <r>
      <rPr>
        <sz val="9"/>
        <rFont val="Noto Sans CJK SC"/>
        <family val="2"/>
      </rPr>
      <t xml:space="preserve">인 행이 정확히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개인지 쿼리로 확인</t>
    </r>
  </si>
  <si>
    <r>
      <rPr>
        <sz val="9"/>
        <rFont val="Arial"/>
        <family val="0"/>
        <charset val="1"/>
      </rPr>
      <t xml:space="preserve">FINANCIAL_CONFIGS→MONTHLY_SETTLEMENTS </t>
    </r>
    <r>
      <rPr>
        <sz val="9"/>
        <rFont val="Noto Sans CJK SC"/>
        <family val="2"/>
      </rPr>
      <t xml:space="preserve">관계 제거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스냅샷 분리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</si>
  <si>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t xml:space="preserve">docs/3rd_host_ai_db_spec_v1.md (2.7 FINANCIAL_CONFIGS / 2.8 MONTHLY_SETTLEMENTS)</t>
  </si>
  <si>
    <t xml:space="preserve">정산은 스냅샷 — 수수료율이 나중에 바뀌어도 과거 정산결과는 불변이어야 함</t>
  </si>
  <si>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</si>
  <si>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r>
      <rPr>
        <sz val="9"/>
        <rFont val="Noto Sans CJK SC"/>
        <family val="2"/>
      </rPr>
      <t xml:space="preserve">수수료율을 </t>
    </r>
    <r>
      <rPr>
        <sz val="9"/>
        <rFont val="Arial"/>
        <family val="0"/>
        <charset val="1"/>
      </rPr>
      <t xml:space="preserve">0.155→0.16</t>
    </r>
    <r>
      <rPr>
        <sz val="9"/>
        <rFont val="Noto Sans CJK SC"/>
        <family val="2"/>
      </rPr>
      <t xml:space="preserve">으로 바꾼 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과거 정산행의 </t>
    </r>
    <r>
      <rPr>
        <sz val="9"/>
        <rFont val="Arial"/>
        <family val="0"/>
        <charset val="1"/>
      </rPr>
      <t xml:space="preserve">applied_commission_rate</t>
    </r>
    <r>
      <rPr>
        <sz val="9"/>
        <rFont val="Noto Sans CJK SC"/>
        <family val="2"/>
      </rPr>
      <t xml:space="preserve">가 여전히 </t>
    </r>
    <r>
      <rPr>
        <sz val="9"/>
        <rFont val="Arial"/>
        <family val="0"/>
        <charset val="1"/>
      </rPr>
      <t xml:space="preserve">0.155</t>
    </r>
    <r>
      <rPr>
        <sz val="9"/>
        <rFont val="Noto Sans CJK SC"/>
        <family val="2"/>
      </rPr>
      <t xml:space="preserve">인지 확인</t>
    </r>
  </si>
  <si>
    <t xml:space="preserve">신규작성</t>
  </si>
  <si>
    <r>
      <rPr>
        <sz val="9"/>
        <rFont val="Noto Sans CJK SC"/>
        <family val="2"/>
      </rPr>
      <t xml:space="preserve">제출용 기획서 초안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— 기존 대화내용 취합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</si>
  <si>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docs/project_plan_draft.md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</si>
  <si>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2026-09-02(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</si>
  <si>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financial_status(ESTIMATED/CONFIRMED/MANUALLY_ADJUSTED) </t>
    </r>
    <r>
      <rPr>
        <sz val="9"/>
        <rFont val="Noto Sans CJK SC"/>
        <family val="2"/>
      </rPr>
      <t xml:space="preserve">필드 설계</t>
    </r>
  </si>
  <si>
    <r>
      <rPr>
        <sz val="9"/>
        <rFont val="Noto Sans CJK SC"/>
        <family val="2"/>
      </rPr>
      <t xml:space="preserve">날짜 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종 분리 확정</t>
    </r>
    <r>
      <rPr>
        <sz val="9"/>
        <rFont val="Arial"/>
        <family val="0"/>
        <charset val="1"/>
      </rPr>
      <t xml:space="preserve">(booked_at/check_in/check_out/expected_settlement_at/actual_settlement_at)</t>
    </r>
  </si>
  <si>
    <r>
      <rPr>
        <sz val="9"/>
        <rFont val="Arial"/>
        <family val="0"/>
        <charset val="1"/>
      </rPr>
      <t xml:space="preserve">ChannelConnection </t>
    </r>
    <r>
      <rPr>
        <sz val="9"/>
        <rFont val="Noto Sans CJK SC"/>
        <family val="2"/>
      </rPr>
      <t xml:space="preserve">모델 설계</t>
    </r>
    <r>
      <rPr>
        <sz val="9"/>
        <rFont val="Arial"/>
        <family val="0"/>
        <charset val="1"/>
      </rPr>
      <t xml:space="preserve">(channel/external_property_id/sync_status/last_synced_at)</t>
    </r>
  </si>
  <si>
    <r>
      <rPr>
        <sz val="9"/>
        <rFont val="Arial"/>
        <family val="0"/>
        <charset val="1"/>
      </rPr>
      <t xml:space="preserve">ChecklistTemplate.renewal_trigger_type(NONE/EXPIRATION_BASED/EVENT_BASED) </t>
    </r>
    <r>
      <rPr>
        <sz val="9"/>
        <rFont val="Noto Sans CJK SC"/>
        <family val="2"/>
      </rPr>
      <t xml:space="preserve">필드 추가</t>
    </r>
  </si>
  <si>
    <t xml:space="preserve">docs/3rd_host_ai_db_spec_v1.md (2.16 CHECKLIST_ITEMS)</t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</si>
  <si>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</si>
  <si>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(4.0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앱보장 구분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</si>
  <si>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ACTION_ITEMS </t>
    </r>
    <r>
      <rPr>
        <sz val="9"/>
        <rFont val="Noto Sans CJK SC"/>
        <family val="2"/>
      </rPr>
      <t xml:space="preserve">중복생성 </t>
    </r>
    <r>
      <rPr>
        <sz val="9"/>
        <rFont val="Arial"/>
        <family val="0"/>
        <charset val="1"/>
      </rPr>
      <t xml:space="preserve">idempotency </t>
    </r>
    <r>
      <rPr>
        <sz val="9"/>
        <rFont val="Noto Sans CJK SC"/>
        <family val="2"/>
      </rPr>
      <t xml:space="preserve">정책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 </t>
    </r>
    <r>
      <rPr>
        <sz val="9"/>
        <rFont val="Arial"/>
        <family val="0"/>
        <charset val="1"/>
      </rPr>
      <t xml:space="preserve">reservation_id+category+OPEN </t>
    </r>
    <r>
      <rPr>
        <sz val="9"/>
        <rFont val="Noto Sans CJK SC"/>
        <family val="2"/>
      </rPr>
      <t xml:space="preserve">재사용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</si>
  <si>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해당 섹션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</si>
  <si>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risk_level '</t>
    </r>
    <r>
      <rPr>
        <sz val="9"/>
        <rFont val="Noto Sans CJK SC"/>
        <family val="2"/>
      </rPr>
      <t xml:space="preserve">규칙기반 우선순위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법적판단 아님 명시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</si>
  <si>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인덱스 요구사항 목록화</t>
    </r>
    <r>
      <rPr>
        <sz val="9"/>
        <rFont val="Arial"/>
        <family val="0"/>
        <charset val="1"/>
      </rPr>
      <t xml:space="preserve">(property_id </t>
    </r>
    <r>
      <rPr>
        <sz val="9"/>
        <rFont val="Noto Sans CJK SC"/>
        <family val="2"/>
      </rPr>
      <t xml:space="preserve">계열 전체</t>
    </r>
    <r>
      <rPr>
        <sz val="9"/>
        <rFont val="Arial"/>
        <family val="0"/>
        <charset val="1"/>
      </rPr>
      <t xml:space="preserve">+ActionCenter </t>
    </r>
    <r>
      <rPr>
        <sz val="9"/>
        <rFont val="Noto Sans CJK SC"/>
        <family val="2"/>
      </rPr>
      <t xml:space="preserve">복합인덱스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실제생성은 </t>
    </r>
    <r>
      <rPr>
        <sz val="9"/>
        <rFont val="Arial"/>
        <family val="0"/>
        <charset val="1"/>
      </rPr>
      <t xml:space="preserve">9/5)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</si>
  <si>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</t>
    </r>
  </si>
  <si>
    <r>
      <rPr>
        <sz val="9"/>
        <rFont val="Arial"/>
        <family val="0"/>
        <charset val="1"/>
      </rPr>
      <t xml:space="preserve">docs/erd.md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mermaid </t>
    </r>
    <r>
      <rPr>
        <sz val="9"/>
        <rFont val="Noto Sans CJK SC"/>
        <family val="2"/>
      </rPr>
      <t xml:space="preserve">다이어그램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</t>
    </r>
  </si>
  <si>
    <t xml:space="preserve">설정확인</t>
  </si>
  <si>
    <r>
      <rPr>
        <sz val="9"/>
        <rFont val="Arial"/>
        <family val="0"/>
        <charset val="1"/>
      </rPr>
      <t xml:space="preserve">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</si>
  <si>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클라우드 콘솔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파일 아님</t>
    </r>
    <r>
      <rPr>
        <sz val="9"/>
        <rFont val="Arial"/>
        <family val="0"/>
        <charset val="1"/>
      </rPr>
      <t xml:space="preserve">) — Azure Portal / Google AI Studio</t>
    </r>
  </si>
  <si>
    <r>
      <rPr>
        <sz val="9"/>
        <rFont val="Arial"/>
        <family val="0"/>
        <charset val="1"/>
      </rPr>
      <t xml:space="preserve">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</si>
  <si>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2026-09-03(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</si>
  <si>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✅ 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</si>
  <si>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ERD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전체 엔티티 관계도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</si>
  <si>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 Contract(</t>
    </r>
    <r>
      <rPr>
        <sz val="9"/>
        <rFont val="Noto Sans CJK SC"/>
        <family val="2"/>
      </rPr>
      <t xml:space="preserve">엔드포인트 목록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요청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응답 스펙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정의</t>
    </r>
  </si>
  <si>
    <r>
      <rPr>
        <sz val="9"/>
        <rFont val="Arial"/>
        <family val="0"/>
        <charset val="1"/>
      </rPr>
      <t xml:space="preserve">docs/api_contract.md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</si>
  <si>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상태전이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이벤트 구조 다이어그램 정리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예약→청소→정산→알림 연결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</si>
  <si>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상태전이 섹션 추가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</si>
  <si>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자동추정→일괄확인→예외보정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단계로 수작업을 최소화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엑셀 수기정산과 다르게 만드는 것이 목표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</si>
  <si>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</si>
  <si>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r>
      <rPr>
        <sz val="9"/>
        <rFont val="Noto Sans CJK SC"/>
        <family val="2"/>
      </rPr>
      <t xml:space="preserve">전체 예약 중 예외건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할인적용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수동수정하고 나머지는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클릭으로 끝나는지 확인</t>
    </r>
  </si>
  <si>
    <r>
      <rPr>
        <sz val="9"/>
        <rFont val="Arial"/>
        <family val="0"/>
        <charset val="1"/>
      </rPr>
      <t xml:space="preserve">2026-09-04(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</si>
  <si>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</si>
  <si>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r>
      <rPr>
        <sz val="9"/>
        <rFont val="Arial"/>
        <family val="0"/>
        <charset val="1"/>
      </rPr>
      <t xml:space="preserve">2026-09-05(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</si>
  <si>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</t>
    </r>
  </si>
  <si>
    <t xml:space="preserve">코드구현</t>
  </si>
  <si>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</si>
  <si>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터미널 직접실행 권장</t>
    </r>
    <r>
      <rPr>
        <sz val="9"/>
        <rFont val="Arial"/>
        <family val="0"/>
        <charset val="1"/>
      </rPr>
      <t xml:space="preserve">)</t>
    </r>
  </si>
  <si>
    <t xml:space="preserve">backend/docker-compose.yml, backend/.env</t>
  </si>
  <si>
    <r>
      <rPr>
        <sz val="9"/>
        <rFont val="Arial"/>
        <family val="0"/>
        <charset val="1"/>
      </rPr>
      <t xml:space="preserve">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</t>
    </r>
  </si>
  <si>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</si>
  <si>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확인한 로컬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</t>
    </r>
    <r>
      <rPr>
        <sz val="9"/>
        <rFont val="Arial"/>
        <family val="0"/>
        <charset val="1"/>
      </rPr>
      <t xml:space="preserve">Supabase </t>
    </r>
    <r>
      <rPr>
        <sz val="9"/>
        <rFont val="Noto Sans CJK SC"/>
        <family val="2"/>
      </rPr>
      <t xml:space="preserve">대시보드에 표시된 버전이 같은지 비교</t>
    </r>
  </si>
  <si>
    <r>
      <rPr>
        <sz val="9"/>
        <rFont val="Arial"/>
        <family val="0"/>
        <charset val="1"/>
      </rPr>
      <t xml:space="preserve">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</si>
  <si>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backend/app/models/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</si>
  <si>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로컬 </t>
    </r>
    <r>
      <rPr>
        <sz val="9"/>
        <rFont val="Arial"/>
        <family val="0"/>
        <charset val="1"/>
      </rPr>
      <t xml:space="preserve">Docker</t>
    </r>
    <r>
      <rPr>
        <sz val="9"/>
        <rFont val="Noto Sans CJK SC"/>
        <family val="2"/>
      </rPr>
      <t xml:space="preserve">와 배포</t>
    </r>
    <r>
      <rPr>
        <sz val="9"/>
        <rFont val="Arial"/>
        <family val="0"/>
        <charset val="1"/>
      </rPr>
      <t xml:space="preserve">(Supabase) PostgreSQL </t>
    </r>
    <r>
      <rPr>
        <sz val="9"/>
        <rFont val="Noto Sans CJK SC"/>
        <family val="2"/>
      </rPr>
      <t xml:space="preserve">메이저 버전을 반드시 맞출 것</t>
    </r>
    <r>
      <rPr>
        <sz val="9"/>
        <rFont val="Arial"/>
        <family val="0"/>
        <charset val="1"/>
      </rPr>
      <t xml:space="preserve">(9/5</t>
    </r>
    <r>
      <rPr>
        <sz val="9"/>
        <rFont val="Noto Sans CJK SC"/>
        <family val="2"/>
      </rPr>
      <t xml:space="preserve">에 </t>
    </r>
    <r>
      <rPr>
        <sz val="9"/>
        <rFont val="Arial"/>
        <family val="0"/>
        <charset val="1"/>
      </rPr>
      <t xml:space="preserve">16≠17</t>
    </r>
    <r>
      <rPr>
        <sz val="9"/>
        <rFont val="Noto Sans CJK SC"/>
        <family val="2"/>
      </rPr>
      <t xml:space="preserve">로 어긋난 걸 뒤늦게 발견한 전례 있음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</si>
  <si>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autogenerate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pgvector import·CREATE EXTENSION·PG15+ </t>
    </r>
    <r>
      <rPr>
        <sz val="9"/>
        <rFont val="Noto Sans CJK SC"/>
        <family val="2"/>
      </rPr>
      <t xml:space="preserve">전용 </t>
    </r>
    <r>
      <rPr>
        <sz val="9"/>
        <rFont val="Arial"/>
        <family val="0"/>
        <charset val="1"/>
      </rPr>
      <t xml:space="preserve">SET NULL(</t>
    </r>
    <r>
      <rPr>
        <sz val="9"/>
        <rFont val="Noto Sans CJK SC"/>
        <family val="2"/>
      </rPr>
      <t xml:space="preserve">컬럼목록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문법을 자동으로 못 잡아냄 — 생성된 마이그레이션 파일을 반드시 직접 열어서 확인 후 </t>
    </r>
    <r>
      <rPr>
        <sz val="9"/>
        <rFont val="Arial"/>
        <family val="0"/>
        <charset val="1"/>
      </rPr>
      <t xml:space="preserve">upgrade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</si>
  <si>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</t>
    </r>
    <r>
      <rPr>
        <sz val="9"/>
        <rFont val="Arial"/>
        <family val="0"/>
        <charset val="1"/>
      </rPr>
      <t xml:space="preserve">psql </t>
    </r>
    <r>
      <rPr>
        <sz val="9"/>
        <rFont val="Noto Sans CJK SC"/>
        <family val="2"/>
      </rPr>
      <t xml:space="preserve">접속 → </t>
    </r>
    <r>
      <rPr>
        <sz val="9"/>
        <rFont val="Arial"/>
        <family val="0"/>
        <charset val="1"/>
      </rPr>
      <t xml:space="preserve">\dt(16</t>
    </r>
    <r>
      <rPr>
        <sz val="9"/>
        <rFont val="Noto Sans CJK SC"/>
        <family val="2"/>
      </rPr>
      <t xml:space="preserve">개 테이블</t>
    </r>
    <r>
      <rPr>
        <sz val="9"/>
        <rFont val="Arial"/>
        <family val="0"/>
        <charset val="1"/>
      </rPr>
      <t xml:space="preserve">)·\dx(vector+btree_gist </t>
    </r>
    <r>
      <rPr>
        <sz val="9"/>
        <rFont val="Noto Sans CJK SC"/>
        <family val="2"/>
      </rPr>
      <t xml:space="preserve">확장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, pg_constraint.confdelsetcols</t>
    </r>
    <r>
      <rPr>
        <sz val="9"/>
        <rFont val="Noto Sans CJK SC"/>
        <family val="2"/>
      </rPr>
      <t xml:space="preserve">가 실제 컬럼명과 일치하는지까지 </t>
    </r>
    <r>
      <rPr>
        <sz val="9"/>
        <rFont val="Arial"/>
        <family val="0"/>
        <charset val="1"/>
      </rPr>
      <t xml:space="preserve">attname</t>
    </r>
    <r>
      <rPr>
        <sz val="9"/>
        <rFont val="Noto Sans CJK SC"/>
        <family val="2"/>
      </rPr>
      <t xml:space="preserve">으로 재확인</t>
    </r>
  </si>
  <si>
    <r>
      <rPr>
        <sz val="9"/>
        <rFont val="Arial"/>
        <family val="0"/>
        <charset val="1"/>
      </rPr>
      <t xml:space="preserve">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</si>
  <si>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세부 위치는 해당일 착수시 확정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</si>
  <si>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Render </t>
    </r>
    <r>
      <rPr>
        <sz val="9"/>
        <rFont val="Noto Sans CJK SC"/>
        <family val="2"/>
      </rPr>
      <t xml:space="preserve">무료플랜 슬립방지가 유일한 목적 — 이 라우터에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조회</t>
    </r>
    <r>
      <rPr>
        <sz val="9"/>
        <rFont val="Arial"/>
        <family val="0"/>
        <charset val="1"/>
      </rPr>
      <t xml:space="preserve">(get_db </t>
    </r>
    <r>
      <rPr>
        <sz val="9"/>
        <rFont val="Noto Sans CJK SC"/>
        <family val="2"/>
      </rPr>
      <t xml:space="preserve">의존성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절대 추가하지 않는다</t>
    </r>
  </si>
  <si>
    <r>
      <rPr>
        <sz val="9"/>
        <rFont val="Arial"/>
        <family val="0"/>
        <charset val="1"/>
      </rPr>
      <t xml:space="preserve">uvicorn</t>
    </r>
    <r>
      <rPr>
        <sz val="9"/>
        <rFont val="Noto Sans CJK SC"/>
        <family val="2"/>
      </rPr>
      <t xml:space="preserve">만 띄워놓고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됐다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고 넘기지 말 것 — 실제로 서버가 정상 기동해서 요청에 응답하는지까지 확인해야 진짜 완료</t>
    </r>
  </si>
  <si>
    <r>
      <rPr>
        <sz val="9"/>
        <rFont val="Noto Sans CJK SC"/>
        <family val="2"/>
      </rPr>
      <t xml:space="preserve">브라우저 또는 </t>
    </r>
    <r>
      <rPr>
        <sz val="9"/>
        <rFont val="Arial"/>
        <family val="0"/>
        <charset val="1"/>
      </rPr>
      <t xml:space="preserve">curl</t>
    </r>
    <r>
      <rPr>
        <sz val="9"/>
        <rFont val="Noto Sans CJK SC"/>
        <family val="2"/>
      </rPr>
      <t xml:space="preserve">로 </t>
    </r>
    <r>
      <rPr>
        <sz val="9"/>
        <rFont val="Arial"/>
        <family val="0"/>
        <charset val="1"/>
      </rPr>
      <t xml:space="preserve">http://localhost:8000/health </t>
    </r>
    <r>
      <rPr>
        <sz val="9"/>
        <rFont val="Noto Sans CJK SC"/>
        <family val="2"/>
      </rPr>
      <t xml:space="preserve">직접 열어서 </t>
    </r>
    <r>
      <rPr>
        <sz val="9"/>
        <rFont val="Arial"/>
        <family val="0"/>
        <charset val="1"/>
      </rPr>
      <t xml:space="preserve">{"status":"ok"}</t>
    </r>
    <r>
      <rPr>
        <sz val="9"/>
        <rFont val="Noto Sans CJK SC"/>
        <family val="2"/>
      </rPr>
      <t xml:space="preserve">가 실제로 응답오는지 눈으로 확인</t>
    </r>
  </si>
  <si>
    <r>
      <rPr>
        <sz val="9"/>
        <rFont val="Arial"/>
        <family val="0"/>
        <charset val="1"/>
      </rPr>
      <t xml:space="preserve">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</si>
  <si>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</t>
    </r>
  </si>
  <si>
    <r>
      <rPr>
        <sz val="9"/>
        <rFont val="Noto Sans CJK SC"/>
        <family val="2"/>
      </rPr>
      <t xml:space="preserve">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</si>
  <si>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`git log --all --full-history -- .env` </t>
    </r>
    <r>
      <rPr>
        <sz val="9"/>
        <rFont val="Noto Sans CJK SC"/>
        <family val="2"/>
      </rPr>
      <t xml:space="preserve">실행해서 커밋 이력이 비어있는지 확인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</si>
  <si>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</si>
  <si>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콘텐츠</t>
    </r>
  </si>
  <si>
    <r>
      <rPr>
        <sz val="9"/>
        <rFont val="Noto Sans CJK SC"/>
        <family val="2"/>
      </rPr>
      <t xml:space="preserve">녹화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편집 환경 설정</t>
    </r>
    <r>
      <rPr>
        <sz val="9"/>
        <rFont val="Arial"/>
        <family val="0"/>
        <charset val="1"/>
      </rPr>
      <t xml:space="preserve">(OBS </t>
    </r>
    <r>
      <rPr>
        <sz val="9"/>
        <rFont val="Noto Sans CJK SC"/>
        <family val="2"/>
      </rPr>
      <t xml:space="preserve">설정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편집툴 확정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</si>
  <si>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</t>
    </r>
  </si>
  <si>
    <t xml:space="preserve">제출 직전 급하게 뭔가 더 고치려는 유혹을 참는다</t>
  </si>
  <si>
    <r>
      <rPr>
        <sz val="9"/>
        <rFont val="Noto Sans CJK SC"/>
        <family val="2"/>
      </rPr>
      <t xml:space="preserve">최종 산출물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배포본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영상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문서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처음부터 끝까지 직접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재확인</t>
    </r>
  </si>
  <si>
    <r>
      <rPr>
        <sz val="9"/>
        <rFont val="Arial"/>
        <family val="0"/>
        <charset val="1"/>
      </rPr>
      <t xml:space="preserve">2026-09-07(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</si>
  <si>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1.5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</si>
  <si>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UI/UX </t>
    </r>
    <r>
      <rPr>
        <sz val="9"/>
        <rFont val="Noto Sans CJK SC"/>
        <family val="2"/>
      </rPr>
      <t xml:space="preserve">설계</t>
    </r>
  </si>
  <si>
    <r>
      <rPr>
        <sz val="9"/>
        <rFont val="Noto Sans CJK SC"/>
        <family val="2"/>
      </rPr>
      <t xml:space="preserve">전체 화면목록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대시보드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온보딩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캘린더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인박스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컴플라이언스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</si>
  <si>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docs/ui_design.md 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Figma/</t>
    </r>
    <r>
      <rPr>
        <sz val="9"/>
        <rFont val="Noto Sans CJK SC"/>
        <family val="2"/>
      </rPr>
      <t xml:space="preserve">손그림</t>
    </r>
  </si>
  <si>
    <r>
      <rPr>
        <sz val="9"/>
        <rFont val="Noto Sans CJK SC"/>
        <family val="2"/>
      </rPr>
      <t xml:space="preserve">핵심 화면 와이어프레임 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대시보드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인박스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온보딩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</si>
  <si>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디자인시스템 공통 컴포넌트 정의</t>
    </r>
    <r>
      <rPr>
        <sz val="9"/>
        <rFont val="Arial"/>
        <family val="0"/>
        <charset val="1"/>
      </rPr>
      <t xml:space="preserve">(Header/Sidebar/Card/Badge/Modal/Toast/Loading/EmptyState)</t>
    </r>
  </si>
  <si>
    <r>
      <rPr>
        <sz val="9"/>
        <rFont val="Noto Sans CJK SC"/>
        <family val="2"/>
      </rPr>
      <t xml:space="preserve">빠진 화면이 없는지가 핵심 — 로그인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화면을 특히 놓치기 쉬움</t>
    </r>
  </si>
  <si>
    <r>
      <rPr>
        <sz val="9"/>
        <rFont val="Noto Sans CJK SC"/>
        <family val="2"/>
      </rPr>
      <t xml:space="preserve">와이어프레임을 너무 디테일하게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낭비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저해상도로 충분</t>
    </r>
    <r>
      <rPr>
        <sz val="9"/>
        <rFont val="Arial"/>
        <family val="0"/>
        <charset val="1"/>
      </rPr>
      <t xml:space="preserve">)</t>
    </r>
  </si>
  <si>
    <t xml:space="preserve">실제 사용 흐름 그대로 클릭 시뮬레이션 해보며 막히는 지점이 있는지 확인</t>
  </si>
  <si>
    <r>
      <rPr>
        <sz val="9"/>
        <rFont val="Arial"/>
        <family val="0"/>
        <charset val="1"/>
      </rPr>
      <t xml:space="preserve">2026-09-08(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</si>
  <si>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통합 대시보드 뼈대</t>
    </r>
    <r>
      <rPr>
        <sz val="9"/>
        <rFont val="Arial"/>
        <family val="0"/>
        <charset val="1"/>
      </rPr>
      <t xml:space="preserve">(3~5</t>
    </r>
    <r>
      <rPr>
        <sz val="9"/>
        <rFont val="Noto Sans CJK SC"/>
        <family val="2"/>
      </rPr>
      <t xml:space="preserve">개 숙소 한눈에 보기</t>
    </r>
    <r>
      <rPr>
        <sz val="9"/>
        <rFont val="Arial"/>
        <family val="0"/>
        <charset val="1"/>
      </rPr>
      <t xml:space="preserve">)</t>
    </r>
  </si>
  <si>
    <t xml:space="preserve">frontend/src/pages/Dashboard.jsx</t>
  </si>
  <si>
    <r>
      <rPr>
        <sz val="9"/>
        <rFont val="Noto Sans CJK SC"/>
        <family val="2"/>
      </rPr>
      <t xml:space="preserve">로컬과 배포 환경을 최대한 동일하게 유지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</si>
  <si>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.env </t>
    </r>
    <r>
      <rPr>
        <sz val="9"/>
        <rFont val="Noto Sans CJK SC"/>
        <family val="2"/>
      </rPr>
      <t xml:space="preserve">파일이 실수로 커밋되지 않았는지 매번 확인</t>
    </r>
  </si>
  <si>
    <t xml:space="preserve">로컬에서 정상 동작 확인 후에만 커밋</t>
  </si>
  <si>
    <r>
      <rPr>
        <sz val="9"/>
        <rFont val="Arial"/>
        <family val="0"/>
        <charset val="1"/>
      </rPr>
      <t xml:space="preserve">2026-09-09(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</si>
  <si>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User Flow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화면간 이동 구조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</si>
  <si>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</t>
    </r>
  </si>
  <si>
    <r>
      <rPr>
        <sz val="9"/>
        <rFont val="Arial"/>
        <family val="0"/>
        <charset val="1"/>
      </rPr>
      <t xml:space="preserve">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</si>
  <si>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sz val="9"/>
        <rFont val="Arial"/>
        <family val="0"/>
        <charset val="1"/>
      </rPr>
      <t xml:space="preserve">2026-09-10(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</si>
  <si>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</si>
  <si>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t xml:space="preserve">backend/app/services/ical_sync.py</t>
  </si>
  <si>
    <r>
      <rPr>
        <sz val="9"/>
        <rFont val="Noto Sans CJK SC"/>
        <family val="2"/>
      </rPr>
      <t xml:space="preserve">이 프로젝트에서 유일하게 완전히 실제</t>
    </r>
    <r>
      <rPr>
        <sz val="9"/>
        <rFont val="Arial"/>
        <family val="0"/>
        <charset val="1"/>
      </rPr>
      <t xml:space="preserve">(Real) </t>
    </r>
    <r>
      <rPr>
        <sz val="9"/>
        <rFont val="Noto Sans CJK SC"/>
        <family val="2"/>
      </rPr>
      <t xml:space="preserve">동작하는 외부연동 — 심사 신뢰도의 핵심 앵커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</si>
  <si>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</si>
  <si>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Airbnb iCal URL</t>
    </r>
    <r>
      <rPr>
        <sz val="9"/>
        <rFont val="Noto Sans CJK SC"/>
        <family val="2"/>
      </rPr>
      <t xml:space="preserve">을 넣고 예약이 화면에 정확히 반영되는지 확인</t>
    </r>
  </si>
  <si>
    <r>
      <rPr>
        <sz val="9"/>
        <rFont val="Arial"/>
        <family val="0"/>
        <charset val="1"/>
      </rPr>
      <t xml:space="preserve">2026-09-11(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</si>
  <si>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</si>
  <si>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t xml:space="preserve">backend/app/api/auth.py, frontend/src/pages/Login.jsx</t>
  </si>
  <si>
    <r>
      <rPr>
        <sz val="9"/>
        <rFont val="Noto Sans CJK SC"/>
        <family val="2"/>
      </rPr>
      <t xml:space="preserve">비밀번호는 반드시 </t>
    </r>
    <r>
      <rPr>
        <sz val="9"/>
        <rFont val="Arial"/>
        <family val="0"/>
        <charset val="1"/>
      </rPr>
      <t xml:space="preserve">bcrypt</t>
    </r>
    <r>
      <rPr>
        <sz val="9"/>
        <rFont val="Noto Sans CJK SC"/>
        <family val="2"/>
      </rPr>
      <t xml:space="preserve">로 해시 저장</t>
    </r>
  </si>
  <si>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</si>
  <si>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r>
      <rPr>
        <sz val="9"/>
        <rFont val="Noto Sans CJK SC"/>
        <family val="2"/>
      </rPr>
      <t xml:space="preserve">호스트</t>
    </r>
    <r>
      <rPr>
        <sz val="9"/>
        <rFont val="Arial"/>
        <family val="0"/>
        <charset val="1"/>
      </rPr>
      <t xml:space="preserve">A</t>
    </r>
    <r>
      <rPr>
        <sz val="9"/>
        <rFont val="Noto Sans CJK SC"/>
        <family val="2"/>
      </rPr>
      <t xml:space="preserve">의 토큰으로 호스트</t>
    </r>
    <r>
      <rPr>
        <sz val="9"/>
        <rFont val="Arial"/>
        <family val="0"/>
        <charset val="1"/>
      </rPr>
      <t xml:space="preserve">B </t>
    </r>
    <r>
      <rPr>
        <sz val="9"/>
        <rFont val="Noto Sans CJK SC"/>
        <family val="2"/>
      </rPr>
      <t xml:space="preserve">소유의 </t>
    </r>
    <r>
      <rPr>
        <sz val="9"/>
        <rFont val="Arial"/>
        <family val="0"/>
        <charset val="1"/>
      </rPr>
      <t xml:space="preserve">property_id</t>
    </r>
    <r>
      <rPr>
        <sz val="9"/>
        <rFont val="Noto Sans CJK SC"/>
        <family val="2"/>
      </rPr>
      <t xml:space="preserve">를 조회 시도 → </t>
    </r>
    <r>
      <rPr>
        <sz val="9"/>
        <rFont val="Arial"/>
        <family val="0"/>
        <charset val="1"/>
      </rPr>
      <t xml:space="preserve">403</t>
    </r>
    <r>
      <rPr>
        <sz val="9"/>
        <rFont val="Noto Sans CJK SC"/>
        <family val="2"/>
      </rPr>
      <t xml:space="preserve">으로 차단되는지 확인</t>
    </r>
  </si>
  <si>
    <r>
      <rPr>
        <sz val="9"/>
        <rFont val="Arial"/>
        <family val="0"/>
        <charset val="1"/>
      </rPr>
      <t xml:space="preserve">2026-09-12(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</si>
  <si>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통합 캘린더 뷰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행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 </t>
    </r>
    <r>
      <rPr>
        <sz val="9"/>
        <rFont val="Noto Sans CJK SC"/>
        <family val="2"/>
      </rPr>
      <t xml:space="preserve">아코디언</t>
    </r>
    <r>
      <rPr>
        <sz val="9"/>
        <rFont val="Arial"/>
        <family val="0"/>
        <charset val="1"/>
      </rPr>
      <t xml:space="preserve">-Bed</t>
    </r>
    <r>
      <rPr>
        <sz val="9"/>
        <rFont val="Noto Sans CJK SC"/>
        <family val="2"/>
      </rPr>
      <t xml:space="preserve">행</t>
    </r>
  </si>
  <si>
    <t xml:space="preserve">frontend/src/pages/Calendar.jsx</t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</si>
  <si>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</si>
  <si>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sz val="9"/>
        <rFont val="Arial"/>
        <family val="0"/>
        <charset val="1"/>
      </rPr>
      <t xml:space="preserve">2026-09-14(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</si>
  <si>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</t>
    </r>
  </si>
  <si>
    <t xml:space="preserve">backend/app/services/reservation_validator.py</t>
  </si>
  <si>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Bed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호스텔 확장용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</si>
  <si>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</si>
  <si>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backend/alembic/versions/ (</t>
    </r>
    <r>
      <rPr>
        <sz val="9"/>
        <rFont val="Noto Sans CJK SC"/>
        <family val="2"/>
      </rPr>
      <t xml:space="preserve">마이그레이션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</si>
  <si>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</si>
  <si>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</si>
  <si>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sz val="9"/>
        <rFont val="Noto Sans CJK SC"/>
        <family val="2"/>
      </rPr>
      <t xml:space="preserve">같은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에 겹치는 날짜로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건 </t>
    </r>
    <r>
      <rPr>
        <sz val="9"/>
        <rFont val="Arial"/>
        <family val="0"/>
        <charset val="1"/>
      </rPr>
      <t xml:space="preserve">INSERT → 2</t>
    </r>
    <r>
      <rPr>
        <sz val="9"/>
        <rFont val="Noto Sans CJK SC"/>
        <family val="2"/>
      </rPr>
      <t xml:space="preserve">번째가 에러나는지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취소된 예약과는 겹쳐도 통과하는지 둘 다 확인</t>
    </r>
  </si>
  <si>
    <r>
      <rPr>
        <sz val="9"/>
        <rFont val="Arial"/>
        <family val="0"/>
        <charset val="1"/>
      </rPr>
      <t xml:space="preserve">2026-09-15(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</si>
  <si>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네이버예약 채널카드 </t>
    </r>
    <r>
      <rPr>
        <sz val="9"/>
        <rFont val="Arial"/>
        <family val="0"/>
        <charset val="1"/>
      </rPr>
      <t xml:space="preserve">UI '</t>
    </r>
    <r>
      <rPr>
        <sz val="9"/>
        <rFont val="Noto Sans CJK SC"/>
        <family val="2"/>
      </rPr>
      <t xml:space="preserve">내보내기 전용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</si>
  <si>
    <r>
      <rPr>
        <sz val="9"/>
        <rFont val="Arial"/>
        <family val="0"/>
        <charset val="1"/>
      </rPr>
      <t xml:space="preserve">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</si>
  <si>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sz val="9"/>
        <rFont val="Arial"/>
        <family val="0"/>
        <charset val="1"/>
      </rPr>
      <t xml:space="preserve">2026-09-17(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</si>
  <si>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</si>
  <si>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자체 통합 인박스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 채팅 시뮬레이터 </t>
    </r>
    <r>
      <rPr>
        <sz val="9"/>
        <rFont val="Arial"/>
        <family val="0"/>
        <charset val="1"/>
      </rPr>
      <t xml:space="preserve">UI)</t>
    </r>
  </si>
  <si>
    <t xml:space="preserve">frontend/src/pages/Inbox.jsx</t>
  </si>
  <si>
    <r>
      <rPr>
        <sz val="9"/>
        <rFont val="Noto Sans CJK SC"/>
        <family val="2"/>
      </rPr>
      <t xml:space="preserve">비용통제 아키텍처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회 통합호출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원칙을 벗어나지 않는다</t>
    </r>
  </si>
  <si>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</si>
  <si>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r>
      <rPr>
        <sz val="9"/>
        <rFont val="Noto Sans CJK SC"/>
        <family val="2"/>
      </rPr>
      <t xml:space="preserve">실제 호출해보고 응답 품질과 호출 횟수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함께 확인</t>
    </r>
  </si>
  <si>
    <r>
      <rPr>
        <sz val="9"/>
        <rFont val="Arial"/>
        <family val="0"/>
        <charset val="1"/>
      </rPr>
      <t xml:space="preserve">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</si>
  <si>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sz val="9"/>
        <rFont val="Arial"/>
        <family val="0"/>
        <charset val="1"/>
      </rPr>
      <t xml:space="preserve">2026-09-18(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</si>
  <si>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</si>
  <si>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</si>
  <si>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2026-09-19(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</si>
  <si>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숙소별 </t>
    </r>
    <r>
      <rPr>
        <sz val="9"/>
        <rFont val="Arial"/>
        <family val="0"/>
        <charset val="1"/>
      </rPr>
      <t xml:space="preserve">RAG </t>
    </r>
    <r>
      <rPr>
        <sz val="9"/>
        <rFont val="Noto Sans CJK SC"/>
        <family val="2"/>
      </rPr>
      <t xml:space="preserve">지식베이스 구축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벡터검색</t>
    </r>
    <r>
      <rPr>
        <sz val="9"/>
        <rFont val="Arial"/>
        <family val="0"/>
        <charset val="1"/>
      </rPr>
      <t xml:space="preserve">, LLM</t>
    </r>
    <r>
      <rPr>
        <sz val="9"/>
        <rFont val="Noto Sans CJK SC"/>
        <family val="2"/>
      </rPr>
      <t xml:space="preserve">비용無</t>
    </r>
    <r>
      <rPr>
        <sz val="9"/>
        <rFont val="Arial"/>
        <family val="0"/>
        <charset val="1"/>
      </rPr>
      <t xml:space="preserve">) + property_id </t>
    </r>
    <r>
      <rPr>
        <sz val="9"/>
        <rFont val="Noto Sans CJK SC"/>
        <family val="2"/>
      </rPr>
      <t xml:space="preserve">스코프 격리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개발용 응답캐시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동일질문 반복시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미호출</t>
    </r>
    <r>
      <rPr>
        <sz val="9"/>
        <rFont val="Arial"/>
        <family val="0"/>
        <charset val="1"/>
      </rPr>
      <t xml:space="preserve">)</t>
    </r>
  </si>
  <si>
    <t xml:space="preserve">backend/app/services/rag.py</t>
  </si>
  <si>
    <r>
      <rPr>
        <sz val="9"/>
        <rFont val="Arial"/>
        <family val="0"/>
        <charset val="1"/>
      </rPr>
      <t xml:space="preserve">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</t>
    </r>
  </si>
  <si>
    <r>
      <rPr>
        <sz val="9"/>
        <rFont val="Noto Sans CJK SC"/>
        <family val="2"/>
      </rPr>
      <t xml:space="preserve">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임베딩 모델 확정 시 </t>
    </r>
    <r>
      <rPr>
        <sz val="9"/>
        <rFont val="Arial"/>
        <family val="0"/>
        <charset val="1"/>
      </rPr>
      <t xml:space="preserve">EMBEDDING_DIM(</t>
    </r>
    <r>
      <rPr>
        <sz val="9"/>
        <rFont val="Noto Sans CJK SC"/>
        <family val="2"/>
      </rPr>
      <t xml:space="preserve">현재 </t>
    </r>
    <r>
      <rPr>
        <sz val="9"/>
        <rFont val="Arial"/>
        <family val="0"/>
        <charset val="1"/>
      </rPr>
      <t xml:space="preserve">384, all-MiniLM-L6-v2 </t>
    </r>
    <r>
      <rPr>
        <sz val="9"/>
        <rFont val="Noto Sans CJK SC"/>
        <family val="2"/>
      </rPr>
      <t xml:space="preserve">가정값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실제 선택 모델과 일치하는지 재확인 — 다르면 컬럼 마이그레이션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필요</t>
    </r>
  </si>
  <si>
    <r>
      <rPr>
        <sz val="9"/>
        <rFont val="Noto Sans CJK SC"/>
        <family val="2"/>
      </rPr>
      <t xml:space="preserve">숙소</t>
    </r>
    <r>
      <rPr>
        <sz val="9"/>
        <rFont val="Arial"/>
        <family val="0"/>
        <charset val="1"/>
      </rPr>
      <t xml:space="preserve">A/B</t>
    </r>
    <r>
      <rPr>
        <sz val="9"/>
        <rFont val="Noto Sans CJK SC"/>
        <family val="2"/>
      </rPr>
      <t xml:space="preserve">에 동일 질문을 던져서 서로 다른 정답이 나오는지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로그상 문의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건당 </t>
    </r>
    <r>
      <rPr>
        <sz val="9"/>
        <rFont val="Arial"/>
        <family val="0"/>
        <charset val="1"/>
      </rPr>
      <t xml:space="preserve">Claude </t>
    </r>
    <r>
      <rPr>
        <sz val="9"/>
        <rFont val="Noto Sans CJK SC"/>
        <family val="2"/>
      </rPr>
      <t xml:space="preserve">호출이 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회인지 확인</t>
    </r>
  </si>
  <si>
    <r>
      <rPr>
        <sz val="9"/>
        <rFont val="Arial"/>
        <family val="0"/>
        <charset val="1"/>
      </rPr>
      <t xml:space="preserve">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</si>
  <si>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t xml:space="preserve">frontend/src/components/AIChatBox.jsx</t>
  </si>
  <si>
    <r>
      <rPr>
        <sz val="9"/>
        <rFont val="Arial"/>
        <family val="0"/>
        <charset val="1"/>
      </rPr>
      <t xml:space="preserve">2026-09-21(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</si>
  <si>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</si>
  <si>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</si>
  <si>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t xml:space="preserve">backend/app/services/ai_agent.py</t>
  </si>
  <si>
    <r>
      <rPr>
        <sz val="9"/>
        <rFont val="Arial"/>
        <family val="0"/>
        <charset val="1"/>
      </rPr>
      <t xml:space="preserve">2026-09-22(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</si>
  <si>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</si>
  <si>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</si>
  <si>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sz val="9"/>
        <rFont val="Noto Sans CJK SC"/>
        <family val="2"/>
      </rPr>
      <t xml:space="preserve">영어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중국어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일본어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개국어로 범위 고정</t>
    </r>
  </si>
  <si>
    <r>
      <rPr>
        <sz val="9"/>
        <rFont val="Noto Sans CJK SC"/>
        <family val="2"/>
      </rPr>
      <t xml:space="preserve">언어 지원 확대는 범위관리 원칙상 금지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차로 미룰 것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</si>
  <si>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 각각 질문을 던져 자연스러운 답변이 나오는지 확인</t>
    </r>
  </si>
  <si>
    <r>
      <rPr>
        <sz val="9"/>
        <rFont val="Arial"/>
        <family val="0"/>
        <charset val="1"/>
      </rPr>
      <t xml:space="preserve">2026-09-23(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</si>
  <si>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</si>
  <si>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</t>
    </r>
  </si>
  <si>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</t>
    </r>
  </si>
  <si>
    <t xml:space="preserve">frontend/src/pages/ReservationDetail.jsx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</si>
  <si>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</t>
    </r>
  </si>
  <si>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</si>
  <si>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규칙표</t>
    </r>
    <r>
      <rPr>
        <sz val="9"/>
        <rFont val="Arial"/>
        <family val="0"/>
        <charset val="1"/>
      </rPr>
      <t xml:space="preserve">(🔴🟡🟢)</t>
    </r>
    <r>
      <rPr>
        <sz val="9"/>
        <rFont val="Noto Sans CJK SC"/>
        <family val="2"/>
      </rPr>
      <t xml:space="preserve">대로 정확히 분류되는지 실제 예약데이터로 재현해서 확인</t>
    </r>
  </si>
  <si>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</si>
  <si>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t xml:space="preserve">backend/tests/test_integration_1.py</t>
  </si>
  <si>
    <r>
      <rPr>
        <sz val="9"/>
        <rFont val="Arial"/>
        <family val="0"/>
        <charset val="1"/>
      </rPr>
      <t xml:space="preserve">2026-09-26(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</si>
  <si>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위험도 분류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자동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 </t>
    </r>
    <r>
      <rPr>
        <sz val="9"/>
        <rFont val="Arial"/>
        <family val="0"/>
        <charset val="1"/>
      </rPr>
      <t xml:space="preserve">vs </t>
    </r>
    <r>
      <rPr>
        <sz val="9"/>
        <rFont val="Noto Sans CJK SC"/>
        <family val="2"/>
      </rPr>
      <t xml:space="preserve">승인필요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</si>
  <si>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자동응답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승인필요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명확히 분리</t>
    </r>
  </si>
  <si>
    <t xml:space="preserve">이 기준표가 불명확하면 고위험 문의가 실수로 자동발송될 위험</t>
  </si>
  <si>
    <r>
      <rPr>
        <sz val="9"/>
        <rFont val="Noto Sans CJK SC"/>
        <family val="2"/>
      </rPr>
      <t xml:space="preserve">각 카테고리 질문을 실제로 넣어 자동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승인대기가 기준표대로 정확히 갈리는지 확인</t>
    </r>
  </si>
  <si>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체크아웃 안내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리뷰요청 자동화</t>
    </r>
  </si>
  <si>
    <t xml:space="preserve">backend/app/services/notification.py</t>
  </si>
  <si>
    <r>
      <rPr>
        <sz val="9"/>
        <rFont val="Arial"/>
        <family val="0"/>
        <charset val="1"/>
      </rPr>
      <t xml:space="preserve">2026-09-28(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</si>
  <si>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</si>
  <si>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</si>
  <si>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시설 관리</t>
    </r>
  </si>
  <si>
    <r>
      <rPr>
        <sz val="9"/>
        <rFont val="Arial"/>
        <family val="0"/>
        <charset val="1"/>
      </rPr>
      <t xml:space="preserve">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</si>
  <si>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t xml:space="preserve">frontend/src/pages/Cleaning.jsx</t>
  </si>
  <si>
    <r>
      <rPr>
        <sz val="9"/>
        <rFont val="Noto Sans CJK SC"/>
        <family val="2"/>
      </rPr>
      <t xml:space="preserve">상태머신 순서</t>
    </r>
    <r>
      <rPr>
        <sz val="9"/>
        <rFont val="Arial"/>
        <family val="0"/>
        <charset val="1"/>
      </rPr>
      <t xml:space="preserve">(PENDING~VERIFIED/ISSUE)</t>
    </r>
    <r>
      <rPr>
        <sz val="9"/>
        <rFont val="Noto Sans CJK SC"/>
        <family val="2"/>
      </rPr>
      <t xml:space="preserve">를 정확히 지킨다</t>
    </r>
  </si>
  <si>
    <t xml:space="preserve">체크아웃 이벤트당 청소작업이 중복 생성되지 않게 한다</t>
  </si>
  <si>
    <t xml:space="preserve">상태 전이를 하나씩 실제로 눌러보며 순서대로 넘어가는지 확인</t>
  </si>
  <si>
    <r>
      <rPr>
        <sz val="9"/>
        <rFont val="Arial"/>
        <family val="0"/>
        <charset val="1"/>
      </rPr>
      <t xml:space="preserve">2026-09-29(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</si>
  <si>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예약확정시 임시 비밀번호 자동생성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만료 로직</t>
    </r>
  </si>
  <si>
    <t xml:space="preserve">backend/app/services/doorlock_mock.py</t>
  </si>
  <si>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임을 화면에서 명확히 알 수 있게 한다</t>
    </r>
  </si>
  <si>
    <r>
      <rPr>
        <sz val="9"/>
        <rFont val="Noto Sans CJK SC"/>
        <family val="2"/>
      </rPr>
      <t xml:space="preserve">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</si>
  <si>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t xml:space="preserve">화면에 시뮬레이션 표시가 있는지 육안 확인</t>
  </si>
  <si>
    <r>
      <rPr>
        <sz val="9"/>
        <rFont val="Noto Sans CJK SC"/>
        <family val="2"/>
      </rPr>
      <t xml:space="preserve">스마트락 </t>
    </r>
    <r>
      <rPr>
        <sz val="9"/>
        <rFont val="Arial"/>
        <family val="0"/>
        <charset val="1"/>
      </rPr>
      <t xml:space="preserve">100% Mock </t>
    </r>
    <r>
      <rPr>
        <sz val="9"/>
        <rFont val="Noto Sans CJK SC"/>
        <family val="2"/>
      </rPr>
      <t xml:space="preserve">확정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표시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</si>
  <si>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</si>
  <si>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</si>
  <si>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뱃지가 육안으로 확인되는지</t>
    </r>
  </si>
  <si>
    <r>
      <rPr>
        <sz val="9"/>
        <rFont val="Arial"/>
        <family val="0"/>
        <charset val="1"/>
      </rPr>
      <t xml:space="preserve">2026-09-30(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</si>
  <si>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</si>
  <si>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2026-10-01(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</si>
  <si>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</si>
  <si>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</t>
    </r>
  </si>
  <si>
    <t xml:space="preserve">backend/.env.production, frontend/.env.production</t>
  </si>
  <si>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</si>
  <si>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</si>
  <si>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개인정보 최소수집 원칙 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게스트데이터</t>
    </r>
    <r>
      <rPr>
        <sz val="9"/>
        <rFont val="Arial"/>
        <family val="0"/>
        <charset val="1"/>
      </rPr>
      <t xml:space="preserve">-RAG</t>
    </r>
    <r>
      <rPr>
        <sz val="9"/>
        <rFont val="Noto Sans CJK SC"/>
        <family val="2"/>
      </rPr>
      <t xml:space="preserve">데이터 분리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</si>
  <si>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2026-10-02(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</si>
  <si>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청소 상태머신 구현</t>
    </r>
    <r>
      <rPr>
        <sz val="9"/>
        <rFont val="Arial"/>
        <family val="0"/>
        <charset val="1"/>
      </rPr>
      <t xml:space="preserve">(PENDING→ASSIGNED→IN_PROGRESS→COMPLETED→VERIFIED/ISSUE)</t>
    </r>
  </si>
  <si>
    <t xml:space="preserve">backend/app/models/cleaning.py</t>
  </si>
  <si>
    <r>
      <rPr>
        <sz val="9"/>
        <rFont val="Arial"/>
        <family val="0"/>
        <charset val="1"/>
      </rPr>
      <t xml:space="preserve">PENDING→ASSIGNED→IN_PROGRESS→COMPLETED→VERIFIED/ISSUE </t>
    </r>
    <r>
      <rPr>
        <sz val="9"/>
        <rFont val="Noto Sans CJK SC"/>
        <family val="2"/>
      </rPr>
      <t xml:space="preserve">순서 준수</t>
    </r>
  </si>
  <si>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</si>
  <si>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상태의 청소건이 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긴급알림에 안 잡히는지 확인</t>
    </r>
  </si>
  <si>
    <t xml:space="preserve">backend/app/services/cleaning.py</t>
  </si>
  <si>
    <r>
      <rPr>
        <sz val="9"/>
        <rFont val="Noto Sans CJK SC"/>
        <family val="2"/>
      </rPr>
      <t xml:space="preserve">데모 시드 데이터 스크립트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호스트</t>
    </r>
    <r>
      <rPr>
        <sz val="9"/>
        <rFont val="Arial"/>
        <family val="0"/>
        <charset val="1"/>
      </rPr>
      <t xml:space="preserve">1+</t>
    </r>
    <r>
      <rPr>
        <sz val="9"/>
        <rFont val="Noto Sans CJK SC"/>
        <family val="2"/>
      </rPr>
      <t xml:space="preserve">숙소</t>
    </r>
    <r>
      <rPr>
        <sz val="9"/>
        <rFont val="Arial"/>
        <family val="0"/>
        <charset val="1"/>
      </rPr>
      <t xml:space="preserve">3+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15~20</t>
    </r>
    <r>
      <rPr>
        <sz val="9"/>
        <rFont val="Noto Sans CJK SC"/>
        <family val="2"/>
      </rPr>
      <t xml:space="preserve">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긴급알림 시나리오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발표 시점 기준 상대시간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체크인 </t>
    </r>
    <r>
      <rPr>
        <sz val="9"/>
        <rFont val="Arial"/>
        <family val="0"/>
        <charset val="1"/>
      </rPr>
      <t xml:space="preserve">D-1.5</t>
    </r>
    <r>
      <rPr>
        <sz val="9"/>
        <rFont val="Noto Sans CJK SC"/>
        <family val="2"/>
      </rPr>
      <t xml:space="preserve">시간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자동계산 로직 포함</t>
    </r>
    <r>
      <rPr>
        <sz val="9"/>
        <rFont val="Arial"/>
        <family val="0"/>
        <charset val="1"/>
      </rPr>
      <t xml:space="preserve">)</t>
    </r>
  </si>
  <si>
    <t xml:space="preserve">backend/scripts/seed_demo.py</t>
  </si>
  <si>
    <r>
      <rPr>
        <sz val="9"/>
        <rFont val="Noto Sans CJK SC"/>
        <family val="2"/>
      </rPr>
      <t xml:space="preserve">모든 금액이 추정치임을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에서 명확히 구분 표시한다</t>
    </r>
  </si>
  <si>
    <r>
      <rPr>
        <sz val="9"/>
        <rFont val="Noto Sans CJK SC"/>
        <family val="2"/>
      </rPr>
      <t xml:space="preserve">실제 결제 확정 금액으로 착각되지 않게 </t>
    </r>
    <r>
      <rPr>
        <sz val="9"/>
        <rFont val="Arial"/>
        <family val="0"/>
        <charset val="1"/>
      </rPr>
      <t xml:space="preserve">financial_status</t>
    </r>
    <r>
      <rPr>
        <sz val="9"/>
        <rFont val="Noto Sans CJK SC"/>
        <family val="2"/>
      </rPr>
      <t xml:space="preserve">를 반드시 노출</t>
    </r>
  </si>
  <si>
    <r>
      <rPr>
        <sz val="9"/>
        <rFont val="Noto Sans CJK SC"/>
        <family val="2"/>
      </rPr>
      <t xml:space="preserve">예상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확정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수동수정 뱃지가 실제로 다르게 표시되는지 확인</t>
    </r>
  </si>
  <si>
    <r>
      <rPr>
        <sz val="9"/>
        <rFont val="Arial"/>
        <family val="0"/>
        <charset val="1"/>
      </rPr>
      <t xml:space="preserve">2026-10-03(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</si>
  <si>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문자</t>
    </r>
    <r>
      <rPr>
        <sz val="9"/>
        <rFont val="Arial"/>
        <family val="0"/>
        <charset val="1"/>
      </rPr>
      <t xml:space="preserve">API(</t>
    </r>
    <r>
      <rPr>
        <sz val="9"/>
        <rFont val="Noto Sans CJK SC"/>
        <family val="2"/>
      </rPr>
      <t xml:space="preserve">알리고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청소업체 알림 자동발송</t>
    </r>
  </si>
  <si>
    <t xml:space="preserve">backend/app/services/sms.py</t>
  </si>
  <si>
    <r>
      <rPr>
        <sz val="9"/>
        <rFont val="Noto Sans CJK SC"/>
        <family val="2"/>
      </rPr>
      <t xml:space="preserve">체크리스트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사진업로드 완료확인</t>
    </r>
    <r>
      <rPr>
        <sz val="9"/>
        <rFont val="Arial"/>
        <family val="0"/>
        <charset val="1"/>
      </rPr>
      <t xml:space="preserve">(VERIFIED 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</si>
  <si>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호스텔 객실</t>
    </r>
    <r>
      <rPr>
        <sz val="9"/>
        <rFont val="Arial"/>
        <family val="0"/>
        <charset val="1"/>
      </rPr>
      <t xml:space="preserve">(Room)</t>
    </r>
    <r>
      <rPr>
        <sz val="9"/>
        <rFont val="Noto Sans CJK SC"/>
        <family val="2"/>
      </rPr>
      <t xml:space="preserve">단위 정비 체크리스트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비품부족 체크박스</t>
    </r>
  </si>
  <si>
    <r>
      <rPr>
        <sz val="9"/>
        <rFont val="Arial"/>
        <family val="0"/>
        <charset val="1"/>
      </rPr>
      <t xml:space="preserve">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</si>
  <si>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sz val="9"/>
        <rFont val="Arial"/>
        <family val="0"/>
        <charset val="1"/>
      </rPr>
      <t xml:space="preserve">2026-10-05(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</si>
  <si>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</t>
    </r>
  </si>
  <si>
    <t xml:space="preserve">frontend/src/components/MockBadge.jsx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</si>
  <si>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</si>
  <si>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</si>
  <si>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t xml:space="preserve">추천가와 근거가 함께 표시되는지 확인</t>
  </si>
  <si>
    <r>
      <rPr>
        <sz val="9"/>
        <rFont val="Noto Sans CJK SC"/>
        <family val="2"/>
      </rPr>
      <t xml:space="preserve">채널별 수수료 템플릿 설계</t>
    </r>
    <r>
      <rPr>
        <sz val="9"/>
        <rFont val="Arial"/>
        <family val="0"/>
        <charset val="1"/>
      </rPr>
      <t xml:space="preserve">(Airbnb 15.5%, Booking.com 15~18%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</si>
  <si>
    <t xml:space="preserve">backend/app/services/settlement.py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</si>
  <si>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</si>
  <si>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</t>
    </r>
  </si>
  <si>
    <t xml:space="preserve">frontend/src/pages/Settlement.jsx</t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</si>
  <si>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</si>
  <si>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</si>
  <si>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</si>
  <si>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t xml:space="preserve">backend/tests/test_integration_2.py</t>
  </si>
  <si>
    <r>
      <rPr>
        <sz val="9"/>
        <rFont val="Arial"/>
        <family val="0"/>
        <charset val="1"/>
      </rPr>
      <t xml:space="preserve">2026-10-06(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</si>
  <si>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</t>
    </r>
  </si>
  <si>
    <r>
      <rPr>
        <sz val="9"/>
        <rFont val="Noto Sans CJK SC"/>
        <family val="2"/>
      </rPr>
      <t xml:space="preserve">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</t>
    </r>
  </si>
  <si>
    <t xml:space="preserve">backend/app/services/pricing.py</t>
  </si>
  <si>
    <r>
      <rPr>
        <sz val="9"/>
        <rFont val="Noto Sans CJK SC"/>
        <family val="2"/>
      </rPr>
      <t xml:space="preserve">예약임박도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잔여객실 반영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기존 </t>
    </r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데이터 활용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</si>
  <si>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알림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액션센터</t>
    </r>
  </si>
  <si>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규칙기반 트리거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최종스펙 규칙표 그대로</t>
    </r>
    <r>
      <rPr>
        <sz val="9"/>
        <rFont val="Arial"/>
        <family val="0"/>
        <charset val="1"/>
      </rPr>
      <t xml:space="preserve">)</t>
    </r>
  </si>
  <si>
    <t xml:space="preserve">backend/app/services/action_center.py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</si>
  <si>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</t>
    </r>
  </si>
  <si>
    <t xml:space="preserve">같은 이벤트가 반복돼도 알림이 중복 생성되지 않게 한다</t>
  </si>
  <si>
    <t xml:space="preserve">규칙표대로 🔴🟡🟢이 정확히 분류되는지 확인</t>
  </si>
  <si>
    <r>
      <rPr>
        <sz val="9"/>
        <rFont val="Noto Sans CJK SC"/>
        <family val="2"/>
      </rPr>
      <t xml:space="preserve">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</si>
  <si>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</t>
    </r>
  </si>
  <si>
    <t xml:space="preserve">frontend/src/components/StateHandler.jsx</t>
  </si>
  <si>
    <r>
      <rPr>
        <sz val="9"/>
        <rFont val="Arial"/>
        <family val="0"/>
        <charset val="1"/>
      </rPr>
      <t xml:space="preserve">2026-10-07(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</si>
  <si>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Clipchamp 10</t>
    </r>
    <r>
      <rPr>
        <sz val="9"/>
        <rFont val="Noto Sans CJK SC"/>
        <family val="2"/>
      </rPr>
      <t xml:space="preserve">분 더미 영상 내보내기 테스트</t>
    </r>
  </si>
  <si>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</si>
  <si>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실제 운영 페인포인트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박이상만 받아 화</t>
    </r>
    <r>
      <rPr>
        <sz val="9"/>
        <rFont val="Arial"/>
        <family val="0"/>
        <charset val="1"/>
      </rPr>
      <t xml:space="preserve">~</t>
    </r>
    <r>
      <rPr>
        <sz val="9"/>
        <rFont val="Noto Sans CJK SC"/>
        <family val="2"/>
      </rPr>
      <t xml:space="preserve">금이 비는 문제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규칙화 — 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 양방향</t>
    </r>
  </si>
  <si>
    <r>
      <rPr>
        <sz val="9"/>
        <rFont val="Noto Sans CJK SC"/>
        <family val="2"/>
      </rPr>
      <t xml:space="preserve">연휴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공휴일은 시스템이 임의로 계속 인상하면 안 됨 — 방치감지 후 반드시 호스트 승인 거쳐야 함</t>
    </r>
    <r>
      <rPr>
        <sz val="9"/>
        <rFont val="Arial"/>
        <family val="0"/>
        <charset val="1"/>
      </rPr>
      <t xml:space="preserve">(100% </t>
    </r>
    <r>
      <rPr>
        <sz val="9"/>
        <rFont val="Noto Sans CJK SC"/>
        <family val="2"/>
      </rPr>
      <t xml:space="preserve">자동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</si>
  <si>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평일 미예약건은 할인추천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주말 미예약건은 인상추천이 반대로 나오는지 실데이터로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연휴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일 방치 시 알림만 뜨고 자동조정 안 되는지 확인</t>
    </r>
  </si>
  <si>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</t>
    </r>
  </si>
  <si>
    <r>
      <rPr>
        <sz val="9"/>
        <rFont val="Noto Sans CJK SC"/>
        <family val="2"/>
      </rPr>
      <t xml:space="preserve">숙박업 유형별 체크리스트 정적 </t>
    </r>
    <r>
      <rPr>
        <sz val="9"/>
        <rFont val="Arial"/>
        <family val="0"/>
        <charset val="1"/>
      </rPr>
      <t xml:space="preserve">JSON </t>
    </r>
    <r>
      <rPr>
        <sz val="9"/>
        <rFont val="Noto Sans CJK SC"/>
        <family val="2"/>
      </rPr>
      <t xml:space="preserve">템플릿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법정명칭 정확표기</t>
    </r>
  </si>
  <si>
    <t xml:space="preserve">backend/app/data/checklist_templates.json</t>
  </si>
  <si>
    <r>
      <rPr>
        <sz val="9"/>
        <rFont val="Noto Sans CJK SC"/>
        <family val="2"/>
      </rPr>
      <t xml:space="preserve">법률판단이 아니라 참고용 체크리스트임을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 명시</t>
    </r>
  </si>
  <si>
    <r>
      <rPr>
        <sz val="9"/>
        <rFont val="Noto Sans CJK SC"/>
        <family val="2"/>
      </rPr>
      <t xml:space="preserve">숙박업 유형별 정교한 법률 로직을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 초과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</si>
  <si>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참고용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관할 지자체 확인 필요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문구가 화면에 표시되는지 확인</t>
    </r>
  </si>
  <si>
    <r>
      <rPr>
        <sz val="9"/>
        <rFont val="Noto Sans CJK SC"/>
        <family val="2"/>
      </rPr>
      <t xml:space="preserve">업종별 킬러요건 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개 노출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여권보관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수질검사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소방안전관리자 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</si>
  <si>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</t>
    </r>
  </si>
  <si>
    <t xml:space="preserve">backend/app/services/checklist.py</t>
  </si>
  <si>
    <r>
      <rPr>
        <sz val="9"/>
        <rFont val="Arial"/>
        <family val="0"/>
        <charset val="1"/>
      </rPr>
      <t xml:space="preserve">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</si>
  <si>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초안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 흐름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나레이션 포인트 먼저 잡기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최종 코드 완성 전에도 가능</t>
    </r>
    <r>
      <rPr>
        <sz val="9"/>
        <rFont val="Arial"/>
        <family val="0"/>
        <charset val="1"/>
      </rPr>
      <t xml:space="preserve">)</t>
    </r>
  </si>
  <si>
    <t xml:space="preserve">docs/video_script.md</t>
  </si>
  <si>
    <r>
      <rPr>
        <sz val="9"/>
        <rFont val="Arial"/>
        <family val="0"/>
        <charset val="1"/>
      </rPr>
      <t xml:space="preserve">2026-10-08(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</si>
  <si>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5.5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</si>
  <si>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통합</t>
    </r>
    <r>
      <rPr>
        <sz val="9"/>
        <rFont val="Arial"/>
        <family val="0"/>
        <charset val="1"/>
      </rPr>
      <t xml:space="preserve">QA·</t>
    </r>
    <r>
      <rPr>
        <sz val="9"/>
        <rFont val="Noto Sans CJK SC"/>
        <family val="2"/>
      </rPr>
      <t xml:space="preserve">보안</t>
    </r>
  </si>
  <si>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</t>
    </r>
  </si>
  <si>
    <t xml:space="preserve">backend/tests/test_full_flow.py</t>
  </si>
  <si>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</si>
  <si>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배포 전 마지막 방어선 — 여기서 놓치면 발표 중 사고로 직결</t>
  </si>
  <si>
    <t xml:space="preserve">체크리스트 일부만 하지 말고 전체 시나리오를 빠짐없이 재현</t>
  </si>
  <si>
    <t xml:space="preserve">각 항목을 실제로 테스트해보고 결과를 기록</t>
  </si>
  <si>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</t>
    </r>
  </si>
  <si>
    <t xml:space="preserve">backend/app/core/security.py</t>
  </si>
  <si>
    <r>
      <rPr>
        <sz val="9"/>
        <rFont val="Arial"/>
        <family val="0"/>
        <charset val="1"/>
      </rPr>
      <t xml:space="preserve">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</si>
  <si>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README.md </t>
    </r>
    <r>
      <rPr>
        <sz val="9"/>
        <rFont val="Noto Sans CJK SC"/>
        <family val="2"/>
      </rPr>
      <t xml:space="preserve">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소개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설치법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환경변수</t>
    </r>
    <r>
      <rPr>
        <sz val="9"/>
        <rFont val="Arial"/>
        <family val="0"/>
        <charset val="1"/>
      </rPr>
      <t xml:space="preserve">/Demo</t>
    </r>
    <r>
      <rPr>
        <sz val="9"/>
        <rFont val="Noto Sans CJK SC"/>
        <family val="2"/>
      </rPr>
      <t xml:space="preserve">계정</t>
    </r>
    <r>
      <rPr>
        <sz val="9"/>
        <rFont val="Arial"/>
        <family val="0"/>
        <charset val="1"/>
      </rPr>
      <t xml:space="preserve">/Real·Mock</t>
    </r>
    <r>
      <rPr>
        <sz val="9"/>
        <rFont val="Noto Sans CJK SC"/>
        <family val="2"/>
      </rPr>
      <t xml:space="preserve">범위</t>
    </r>
    <r>
      <rPr>
        <sz val="9"/>
        <rFont val="Arial"/>
        <family val="0"/>
        <charset val="1"/>
      </rPr>
      <t xml:space="preserve">)</t>
    </r>
  </si>
  <si>
    <t xml:space="preserve">README.md</t>
  </si>
  <si>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</si>
  <si>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t xml:space="preserve">전체 저장소</t>
  </si>
  <si>
    <r>
      <rPr>
        <sz val="9"/>
        <rFont val="Noto Sans CJK SC"/>
        <family val="2"/>
      </rPr>
      <t xml:space="preserve">제출용 설명문서 최종본 정리</t>
    </r>
    <r>
      <rPr>
        <sz val="9"/>
        <rFont val="Arial"/>
        <family val="0"/>
        <charset val="1"/>
      </rPr>
      <t xml:space="preserve">(9/3 </t>
    </r>
    <r>
      <rPr>
        <sz val="9"/>
        <rFont val="Noto Sans CJK SC"/>
        <family val="2"/>
      </rPr>
      <t xml:space="preserve">기획서 확장판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사용법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</si>
  <si>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2026-10-09(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</si>
  <si>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</t>
    </r>
  </si>
  <si>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브라우저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파일아님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</si>
  <si>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</t>
    </r>
  </si>
  <si>
    <r>
      <rPr>
        <sz val="9"/>
        <rFont val="Arial"/>
        <family val="0"/>
        <charset val="1"/>
      </rPr>
      <t xml:space="preserve">frontend/src/ (</t>
    </r>
    <r>
      <rPr>
        <sz val="9"/>
        <rFont val="Noto Sans CJK SC"/>
        <family val="2"/>
      </rPr>
      <t xml:space="preserve">전체 텍스트 검수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</si>
  <si>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</si>
  <si>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docs/presentation.pptx 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</si>
  <si>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</si>
  <si>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화면 녹화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음성 나레이션 녹음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</si>
  <si>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녹화 소프트웨어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</si>
  <si>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2026-10-10(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</si>
  <si>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아침 검토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전날 녹화분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재촬영 필요분 파악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</si>
  <si>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영상 편집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자막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전환</t>
    </r>
    <r>
      <rPr>
        <sz val="9"/>
        <rFont val="Arial"/>
        <family val="0"/>
        <charset val="1"/>
      </rPr>
      <t xml:space="preserve">/BGM) + </t>
    </r>
    <r>
      <rPr>
        <sz val="9"/>
        <rFont val="Noto Sans CJK SC"/>
        <family val="2"/>
      </rPr>
      <t xml:space="preserve">렌더링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</si>
  <si>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편집 소프트웨어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</si>
  <si>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녹화 시점의 코드를 버전 태그로 고정해서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보여준 화면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제출 코드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일치를 보장</t>
    </r>
  </si>
  <si>
    <r>
      <rPr>
        <sz val="9"/>
        <rFont val="Noto Sans CJK SC"/>
        <family val="2"/>
      </rPr>
      <t xml:space="preserve">녹화 후에 코드를 더 고치고 싶은 충동을 참을 것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버전 불일치 위험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</si>
  <si>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최종 </t>
    </r>
    <r>
      <rPr>
        <sz val="9"/>
        <rFont val="Arial"/>
        <family val="0"/>
        <charset val="1"/>
      </rPr>
      <t xml:space="preserve">mp4</t>
    </r>
    <r>
      <rPr>
        <sz val="9"/>
        <rFont val="Noto Sans CJK SC"/>
        <family val="2"/>
      </rPr>
      <t xml:space="preserve">를 다른 플레이어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다른 브라우저에서도 정상 재생되는지 확인</t>
    </r>
  </si>
  <si>
    <r>
      <rPr>
        <sz val="9"/>
        <rFont val="Noto Sans CJK SC"/>
        <family val="2"/>
      </rPr>
      <t xml:space="preserve">최종 포맷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용량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백업본 준비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최종 제출</t>
    </r>
  </si>
  <si>
    <r>
      <rPr>
        <sz val="9"/>
        <rFont val="Noto Sans CJK SC"/>
        <family val="2"/>
      </rPr>
      <t xml:space="preserve">제출플랫폼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</si>
  <si>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✅ 설명문서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소스코드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최종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외부마감 </t>
    </r>
    <r>
      <rPr>
        <sz val="9"/>
        <rFont val="Arial"/>
        <family val="0"/>
        <charset val="1"/>
      </rPr>
      <t xml:space="preserve">10/10)</t>
    </r>
  </si>
  <si>
    <r>
      <rPr>
        <sz val="9"/>
        <rFont val="Arial"/>
        <family val="0"/>
        <charset val="1"/>
      </rPr>
      <t xml:space="preserve">2026-10-11(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</si>
  <si>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6.5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</si>
  <si>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</t>
    </r>
  </si>
  <si>
    <t xml:space="preserve">발표 당일 사고 예방이 유일한 목적</t>
  </si>
  <si>
    <r>
      <rPr>
        <sz val="9"/>
        <rFont val="Noto Sans CJK SC"/>
        <family val="2"/>
      </rPr>
      <t xml:space="preserve">시연 직전 반드시 실제 환경에서 리허설한다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테스트만으로 안심 금지</t>
    </r>
    <r>
      <rPr>
        <sz val="9"/>
        <rFont val="Arial"/>
        <family val="0"/>
        <charset val="1"/>
      </rPr>
      <t xml:space="preserve">)</t>
    </r>
  </si>
  <si>
    <t xml:space="preserve">처음부터 끝까지 실제로 클릭해보며 끊기는 지점이 없는지 확인</t>
  </si>
  <si>
    <r>
      <rPr>
        <sz val="9"/>
        <rFont val="Arial"/>
        <family val="0"/>
        <charset val="1"/>
      </rPr>
      <t xml:space="preserve">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</si>
  <si>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</si>
  <si>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</si>
  <si>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t xml:space="preserve">※ 구분 범례</t>
  </si>
  <si>
    <r>
      <rPr>
        <sz val="9"/>
        <rFont val="Noto Sans CJK SC"/>
        <family val="2"/>
      </rPr>
      <t xml:space="preserve">이미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등에 작성된 내용을 재확인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체크만</t>
    </r>
  </si>
  <si>
    <t xml:space="preserve">아직 없는 문서를 새로 작성</t>
  </si>
  <si>
    <t xml:space="preserve">파일이 아닌 클라우드 콘솔 등 외부 설정 확인</t>
  </si>
  <si>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backend/frontend </t>
    </r>
    <r>
      <rPr>
        <sz val="9"/>
        <rFont val="Noto Sans CJK SC"/>
        <family val="2"/>
      </rPr>
      <t xml:space="preserve">코드 작성</t>
    </r>
    <r>
      <rPr>
        <sz val="9"/>
        <rFont val="Arial"/>
        <family val="0"/>
        <charset val="1"/>
      </rPr>
      <t xml:space="preserve">(9/5 </t>
    </r>
    <r>
      <rPr>
        <sz val="9"/>
        <rFont val="Noto Sans CJK SC"/>
        <family val="2"/>
      </rPr>
      <t xml:space="preserve">이후만 해당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</si>
  <si>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설계</t>
    </r>
    <r>
      <rPr>
        <b val="true"/>
        <sz val="9"/>
        <rFont val="Arial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콘텐츠</t>
    </r>
  </si>
  <si>
    <r>
      <rPr>
        <sz val="9"/>
        <rFont val="Noto Sans CJK SC"/>
        <family val="2"/>
      </rPr>
      <t xml:space="preserve">야간 시간대 문서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콘텐츠 초안 작업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</si>
  <si>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일일 크로스체크 카드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매일 아침 확인용</t>
    </r>
    <r>
      <rPr>
        <b val="true"/>
        <sz val="16"/>
        <color rgb="FF1F4E78"/>
        <rFont val="Arial"/>
        <family val="0"/>
        <charset val="1"/>
      </rPr>
      <t xml:space="preserve">)</t>
    </r>
  </si>
  <si>
    <r>
      <rPr>
        <i val="true"/>
        <sz val="9"/>
        <color rgb="FF666666"/>
        <rFont val="Noto Sans CJK SC"/>
        <family val="2"/>
      </rPr>
      <t xml:space="preserve">사용법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Noto Sans CJK SC"/>
        <family val="2"/>
      </rPr>
      <t xml:space="preserve">매일 아침 해당 날짜 카드를 열어 순서대로 진행 → 완료마다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완료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열에 체크 → 하단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아침 크로스체크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에 확인 기록</t>
    </r>
  </si>
  <si>
    <r>
      <rPr>
        <b val="true"/>
        <sz val="13"/>
        <color rgb="FFFFFFFF"/>
        <rFont val="Arial"/>
        <family val="0"/>
        <charset val="1"/>
      </rPr>
      <t xml:space="preserve">📅 2026-08-31(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</si>
  <si>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STEP0: DB</t>
    </r>
    <r>
      <rPr>
        <b val="true"/>
        <i val="true"/>
        <sz val="10"/>
        <color rgb="FF1F4E78"/>
        <rFont val="Noto Sans CJK SC"/>
        <family val="2"/>
      </rPr>
      <t xml:space="preserve">명세서</t>
    </r>
    <r>
      <rPr>
        <b val="true"/>
        <i val="true"/>
        <sz val="10"/>
        <color rgb="FF1F4E78"/>
        <rFont val="Arial"/>
        <family val="0"/>
        <charset val="1"/>
      </rPr>
      <t xml:space="preserve">v1(3rd_host_ai_db_spec_v1.md)</t>
    </r>
    <r>
      <rPr>
        <b val="true"/>
        <i val="true"/>
        <sz val="10"/>
        <color rgb="FF1F4E78"/>
        <rFont val="Noto Sans CJK SC"/>
        <family val="2"/>
      </rPr>
      <t xml:space="preserve">을 스키마 최종권위 문서로 확정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구버전 </t>
    </r>
    <r>
      <rPr>
        <b val="true"/>
        <i val="true"/>
        <sz val="10"/>
        <color rgb="FF1F4E78"/>
        <rFont val="Arial"/>
        <family val="0"/>
        <charset val="1"/>
      </rPr>
      <t xml:space="preserve">ERD(guests/payments </t>
    </r>
    <r>
      <rPr>
        <b val="true"/>
        <i val="true"/>
        <sz val="10"/>
        <color rgb="FF1F4E78"/>
        <rFont val="Noto Sans CJK SC"/>
        <family val="2"/>
      </rPr>
      <t xml:space="preserve">등 포함 폐기 초안</t>
    </r>
    <r>
      <rPr>
        <b val="true"/>
        <i val="true"/>
        <sz val="10"/>
        <color rgb="FF1F4E78"/>
        <rFont val="Arial"/>
        <family val="0"/>
        <charset val="1"/>
      </rPr>
      <t xml:space="preserve">) </t>
    </r>
    <r>
      <rPr>
        <b val="true"/>
        <i val="true"/>
        <sz val="10"/>
        <color rgb="FF1F4E78"/>
        <rFont val="Noto Sans CJK SC"/>
        <family val="2"/>
      </rPr>
      <t xml:space="preserve">폐기처리</t>
    </r>
  </si>
  <si>
    <t xml:space="preserve">순서</t>
  </si>
  <si>
    <t xml:space="preserve">활용도구</t>
  </si>
  <si>
    <r>
      <rPr>
        <b val="true"/>
        <sz val="9"/>
        <rFont val="Noto Sans CJK SC"/>
        <family val="2"/>
      </rPr>
      <t xml:space="preserve">핵심포인트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Noto Sans CJK SC"/>
        <family val="2"/>
      </rPr>
      <t xml:space="preserve">주의할 점</t>
    </r>
  </si>
  <si>
    <t xml:space="preserve">확인방법</t>
  </si>
  <si>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</si>
  <si>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DB</t>
    </r>
    <r>
      <rPr>
        <sz val="9"/>
        <rFont val="Noto Sans CJK SC"/>
        <family val="2"/>
      </rPr>
      <t xml:space="preserve">명세서에 이미 결정된 내용을 그대로 반영하는 단계 — 새로 고민하지 않는다
⚠ 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</si>
  <si>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t xml:space="preserve">☑</t>
  </si>
  <si>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검토보조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</si>
  <si>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독채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룸통대여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와 호스텔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개별실판매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하나의 구조로 동시 표현하는 것이 핵심 차별화
⚠ 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</si>
  <si>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Noto Sans CJK SC"/>
        <family val="2"/>
      </rPr>
      <t xml:space="preserve">▶ 단일 </t>
    </r>
    <r>
      <rPr>
        <sz val="9"/>
        <rFont val="Arial"/>
        <family val="0"/>
        <charset val="1"/>
      </rPr>
      <t xml:space="preserve">ENUM(</t>
    </r>
    <r>
      <rPr>
        <sz val="9"/>
        <rFont val="Noto Sans CJK SC"/>
        <family val="2"/>
      </rPr>
      <t xml:space="preserve">한 공간에 복수 숙박업 유형 등록은 법적으로 불가능하다고 확인됨</t>
    </r>
    <r>
      <rPr>
        <sz val="9"/>
        <rFont val="Arial"/>
        <family val="0"/>
        <charset val="1"/>
      </rPr>
      <t xml:space="preserve">)
⚠ 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</si>
  <si>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t xml:space="preserve">🎬 오늘의 시나리오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</si>
  <si>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문서</t>
    </r>
    <r>
      <rPr>
        <i val="true"/>
        <sz val="9"/>
        <rFont val="Arial"/>
        <family val="0"/>
        <charset val="1"/>
      </rPr>
      <t xml:space="preserve">(DB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/ERD/</t>
    </r>
    <r>
      <rPr>
        <i val="true"/>
        <sz val="9"/>
        <rFont val="Noto Sans CJK SC"/>
        <family val="2"/>
      </rPr>
      <t xml:space="preserve">체크리스트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각각 따로 만들어지면 어느 게 진짜 기준인지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v1</t>
    </r>
    <r>
      <rPr>
        <i val="true"/>
        <sz val="9"/>
        <rFont val="Noto Sans CJK SC"/>
        <family val="2"/>
      </rPr>
      <t xml:space="preserve">을 스키마의 유일한 최종권위 문서</t>
    </r>
    <r>
      <rPr>
        <i val="true"/>
        <sz val="9"/>
        <rFont val="Arial"/>
        <family val="0"/>
        <charset val="1"/>
      </rPr>
      <t xml:space="preserve">(SSOT)</t>
    </r>
    <r>
      <rPr>
        <i val="true"/>
        <sz val="9"/>
        <rFont val="Noto Sans CJK SC"/>
        <family val="2"/>
      </rPr>
      <t xml:space="preserve">로 확정 ② 기존에 떠돌던 구버전 </t>
    </r>
    <r>
      <rPr>
        <i val="true"/>
        <sz val="9"/>
        <rFont val="Arial"/>
        <family val="0"/>
        <charset val="1"/>
      </rPr>
      <t xml:space="preserve">ERD </t>
    </r>
    <r>
      <rPr>
        <i val="true"/>
        <sz val="9"/>
        <rFont val="Noto Sans CJK SC"/>
        <family val="2"/>
      </rPr>
      <t xml:space="preserve">초안은 전부 폐기 처리 ③ 이후 모든 문서가 이 명세서를 기준으로 동기화되도록 원칙 확립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버전의 스키마 문서가 동시에 존재하면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오늘 하루 종일 겪은 것처럼 문서끼리 서로 다른 말을 하는 크로스체크 지옥이 반복됨</t>
    </r>
  </si>
  <si>
    <t xml:space="preserve">🌅 아침 크로스체크</t>
  </si>
  <si>
    <r>
      <rPr>
        <sz val="9"/>
        <rFont val="Noto Sans CJK SC"/>
        <family val="2"/>
      </rPr>
      <t xml:space="preserve">☐ 전날 순서대로 실행됨  ☐ 위 작업 전부 완료  ☐ </t>
    </r>
    <r>
      <rPr>
        <sz val="9"/>
        <rFont val="Arial"/>
        <family val="0"/>
        <charset val="1"/>
      </rPr>
      <t xml:space="preserve">git commit </t>
    </r>
    <r>
      <rPr>
        <sz val="9"/>
        <rFont val="Noto Sans CJK SC"/>
        <family val="2"/>
      </rPr>
      <t xml:space="preserve">완료  ☐ 전날 백업 실행</t>
    </r>
    <r>
      <rPr>
        <sz val="9"/>
        <rFont val="Arial"/>
        <family val="0"/>
        <charset val="1"/>
      </rPr>
      <t xml:space="preserve">(backup_push.ps1/.bat </t>
    </r>
    <r>
      <rPr>
        <sz val="9"/>
        <rFont val="Noto Sans CJK SC"/>
        <family val="2"/>
      </rPr>
      <t xml:space="preserve">더블클릭 → </t>
    </r>
    <r>
      <rPr>
        <sz val="9"/>
        <rFont val="Arial"/>
        <family val="0"/>
        <charset val="1"/>
      </rPr>
      <t xml:space="preserve">git push+Desktop </t>
    </r>
    <r>
      <rPr>
        <sz val="9"/>
        <rFont val="Noto Sans CJK SC"/>
        <family val="2"/>
      </rPr>
      <t xml:space="preserve">미러백업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</si>
  <si>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메모</t>
    </r>
    <r>
      <rPr>
        <sz val="9"/>
        <rFont val="Arial"/>
        <family val="0"/>
        <charset val="1"/>
      </rPr>
      <t xml:space="preserve">:</t>
    </r>
  </si>
  <si>
    <r>
      <rPr>
        <b val="true"/>
        <sz val="13"/>
        <color rgb="FFFFFFFF"/>
        <rFont val="Arial"/>
        <family val="0"/>
        <charset val="1"/>
      </rPr>
      <t xml:space="preserve">📅 2026-09-01(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</si>
  <si>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Reservation.bookable_unit_type(PROPERTY/ROOM/BED) </t>
    </r>
    <r>
      <rPr>
        <b val="true"/>
        <i val="true"/>
        <sz val="10"/>
        <color rgb="FF1F4E78"/>
        <rFont val="Noto Sans CJK SC"/>
        <family val="2"/>
      </rPr>
      <t xml:space="preserve">설계</t>
    </r>
  </si>
  <si>
    <r>
      <rPr>
        <sz val="9"/>
        <rFont val="Arial"/>
        <family val="0"/>
        <charset val="1"/>
      </rPr>
      <t xml:space="preserve">▶ 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
⚠ 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</si>
  <si>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r>
      <rPr>
        <sz val="9"/>
        <rFont val="Noto Sans CJK SC"/>
        <family val="2"/>
      </rPr>
      <t xml:space="preserve">▶ 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룸숙소의 실제 운영형태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반영하는 핵심 로직
⚠ </t>
    </r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</si>
  <si>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▶ 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
⚠ 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</si>
  <si>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▶ 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
⚠ </t>
    </r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</si>
  <si>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r>
      <rPr>
        <sz val="9"/>
        <rFont val="Noto Sans CJK SC"/>
        <family val="2"/>
      </rPr>
      <t xml:space="preserve">▶ 다른 숙소 소속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을 잘못 참조하는 데이터오염을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원천 차단
⚠ </t>
    </r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</si>
  <si>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Noto Sans CJK SC"/>
        <family val="2"/>
      </rPr>
      <t xml:space="preserve">▶ 플랫폼별 예약</t>
    </r>
    <r>
      <rPr>
        <sz val="9"/>
        <rFont val="Arial"/>
        <family val="0"/>
        <charset val="1"/>
      </rPr>
      <t xml:space="preserve">UID/</t>
    </r>
    <r>
      <rPr>
        <sz val="9"/>
        <rFont val="Noto Sans CJK SC"/>
        <family val="2"/>
      </rPr>
      <t xml:space="preserve">월별정산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채널연결 각각 중복 방지
⚠ 채널당 연결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제한은 이번 </t>
    </r>
    <r>
      <rPr>
        <sz val="9"/>
        <rFont val="Arial"/>
        <family val="0"/>
        <charset val="1"/>
      </rPr>
      <t xml:space="preserve">MVP </t>
    </r>
    <r>
      <rPr>
        <sz val="9"/>
        <rFont val="Noto Sans CJK SC"/>
        <family val="2"/>
      </rPr>
      <t xml:space="preserve">한정 — 향후 여러 리스팅 대응은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과제</t>
    </r>
  </si>
  <si>
    <r>
      <rPr>
        <sz val="9"/>
        <rFont val="Noto Sans CJK SC"/>
        <family val="2"/>
      </rPr>
      <t xml:space="preserve">▶ 재시도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재답변 이력을 보존하는 </t>
    </r>
    <r>
      <rPr>
        <sz val="9"/>
        <rFont val="Arial"/>
        <family val="0"/>
        <charset val="1"/>
      </rPr>
      <t xml:space="preserve">1:N + is_latest </t>
    </r>
    <r>
      <rPr>
        <sz val="9"/>
        <rFont val="Noto Sans CJK SC"/>
        <family val="2"/>
      </rPr>
      <t xml:space="preserve">구조
⚠ 새 응답을 만들 때 기존 </t>
    </r>
    <r>
      <rPr>
        <sz val="9"/>
        <rFont val="Arial"/>
        <family val="0"/>
        <charset val="1"/>
      </rPr>
      <t xml:space="preserve">is_latest</t>
    </r>
    <r>
      <rPr>
        <sz val="9"/>
        <rFont val="Noto Sans CJK SC"/>
        <family val="2"/>
      </rPr>
      <t xml:space="preserve">를 먼저 </t>
    </r>
    <r>
      <rPr>
        <sz val="9"/>
        <rFont val="Arial"/>
        <family val="0"/>
        <charset val="1"/>
      </rPr>
      <t xml:space="preserve">false</t>
    </r>
    <r>
      <rPr>
        <sz val="9"/>
        <rFont val="Noto Sans CJK SC"/>
        <family val="2"/>
      </rPr>
      <t xml:space="preserve">로 바꾸는 걸 빠뜨리면 부분</t>
    </r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인덱스 위반 에러 발생</t>
    </r>
  </si>
  <si>
    <r>
      <rPr>
        <sz val="9"/>
        <rFont val="Noto Sans CJK SC"/>
        <family val="2"/>
      </rPr>
      <t xml:space="preserve">▶ 정산은 스냅샷 — 수수료율이 나중에 바뀌어도 과거 정산결과는 불변이어야 함
⚠ </t>
    </r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</si>
  <si>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같은 시스템에서 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동시 처리해야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bookable_unit_type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PROPERTY/ROOM/BED 3</t>
    </r>
    <r>
      <rPr>
        <i val="true"/>
        <sz val="9"/>
        <rFont val="Noto Sans CJK SC"/>
        <family val="2"/>
      </rPr>
      <t xml:space="preserve">종으로 확정 ② 예약 생성시 이 값에 따라 </t>
    </r>
    <r>
      <rPr>
        <i val="true"/>
        <sz val="9"/>
        <rFont val="Arial"/>
        <family val="0"/>
        <charset val="1"/>
      </rPr>
      <t xml:space="preserve">room_id/bed_id </t>
    </r>
    <r>
      <rPr>
        <i val="true"/>
        <sz val="9"/>
        <rFont val="Noto Sans CJK SC"/>
        <family val="2"/>
      </rPr>
      <t xml:space="preserve">필수여부가 자동 결정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판매단위 구분이 없으면 강남 통예약 중 방 하나만 따로 예약받는 사고를 시스템이 못 막음</t>
    </r>
  </si>
  <si>
    <r>
      <rPr>
        <b val="true"/>
        <sz val="13"/>
        <color rgb="FFFFFFFF"/>
        <rFont val="Arial"/>
        <family val="0"/>
        <charset val="1"/>
      </rPr>
      <t xml:space="preserve">📅 2026-09-02(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</si>
  <si>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financial_status(ESTIMATED/CONFIRMED/MANUALLY_ADJUSTED) </t>
    </r>
    <r>
      <rPr>
        <b val="true"/>
        <i val="true"/>
        <sz val="10"/>
        <color rgb="FF1F4E78"/>
        <rFont val="Noto Sans CJK SC"/>
        <family val="2"/>
      </rPr>
      <t xml:space="preserve">필드 설계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</si>
  <si>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정산 화면에 표시되는 금액이 확정된 건지 추정치인지 게스트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호스트 둘 다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financial_status</t>
    </r>
    <r>
      <rPr>
        <i val="true"/>
        <sz val="9"/>
        <rFont val="Noto Sans CJK SC"/>
        <family val="2"/>
      </rPr>
      <t xml:space="preserve">를 </t>
    </r>
    <r>
      <rPr>
        <i val="true"/>
        <sz val="9"/>
        <rFont val="Arial"/>
        <family val="0"/>
        <charset val="1"/>
      </rPr>
      <t xml:space="preserve">ESTIMATED/CONFIRMED/MANUALLY_ADJUSTED 3</t>
    </r>
    <r>
      <rPr>
        <i val="true"/>
        <sz val="9"/>
        <rFont val="Noto Sans CJK SC"/>
        <family val="2"/>
      </rPr>
      <t xml:space="preserve">종으로 분리 ② 화면에 상태별 뱃지로 명확히 구분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 없이 숫자만 보여주면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아직 확정 안 된 예상금액을 실수령액으로 착각하는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</si>
  <si>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2026-09-03(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</si>
  <si>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</t>
    </r>
    <r>
      <rPr>
        <b val="true"/>
        <i val="true"/>
        <sz val="10"/>
        <color rgb="FF1F4E78"/>
        <rFont val="Noto Sans CJK SC"/>
        <family val="2"/>
      </rPr>
      <t xml:space="preserve">기획서 제출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오전 </t>
    </r>
    <r>
      <rPr>
        <b val="true"/>
        <i val="true"/>
        <sz val="10"/>
        <color rgb="FF1F4E78"/>
        <rFont val="Arial"/>
        <family val="0"/>
        <charset val="1"/>
      </rPr>
      <t xml:space="preserve">11</t>
    </r>
    <r>
      <rPr>
        <b val="true"/>
        <i val="true"/>
        <sz val="10"/>
        <color rgb="FF1F4E78"/>
        <rFont val="Noto Sans CJK SC"/>
        <family val="2"/>
      </rPr>
      <t xml:space="preserve">시 마감 — 주제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선정이유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일정표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기술스택 포함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</si>
  <si>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자동추정→일괄확인→예외보정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단계로 수작업을 최소화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엑셀 수기정산과 다르게 만드는 것이 목표</t>
    </r>
    <r>
      <rPr>
        <sz val="9"/>
        <rFont val="Arial"/>
        <family val="0"/>
        <charset val="1"/>
      </rPr>
      <t xml:space="preserve">)
⚠ 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</si>
  <si>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부트캠프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차 파이널 프로젝트 기획서 제출 마감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오전 </t>
    </r>
    <r>
      <rPr>
        <i val="true"/>
        <sz val="9"/>
        <rFont val="Arial"/>
        <family val="0"/>
        <charset val="1"/>
      </rPr>
      <t xml:space="preserve">11</t>
    </r>
    <r>
      <rPr>
        <i val="true"/>
        <sz val="9"/>
        <rFont val="Noto Sans CJK SC"/>
        <family val="2"/>
      </rPr>
      <t xml:space="preserve">시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지금까지 확정한 주제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선정이유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일정표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기술스택을 정해진 양식으로 정리 ② 제출 전 최종 오탈자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형식 확인 ③ 마감 전 제출완료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지금까지의 설계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크로스체크 노력이 제출 형식 미비로 감점되는 건 가장 아까운 실수</t>
    </r>
  </si>
  <si>
    <r>
      <rPr>
        <b val="true"/>
        <sz val="13"/>
        <color rgb="FFFFFFFF"/>
        <rFont val="Arial"/>
        <family val="0"/>
        <charset val="1"/>
      </rPr>
      <t xml:space="preserve">📅 2026-09-04(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</si>
  <si>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1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스키마</t>
    </r>
    <r>
      <rPr>
        <b val="true"/>
        <i val="true"/>
        <sz val="10"/>
        <color rgb="FF1F4E78"/>
        <rFont val="Arial"/>
        <family val="0"/>
        <charset val="1"/>
      </rPr>
      <t xml:space="preserve">+ERD+API Contract </t>
    </r>
    <r>
      <rPr>
        <b val="true"/>
        <i val="true"/>
        <sz val="10"/>
        <color rgb="FF1F4E78"/>
        <rFont val="Noto Sans CJK SC"/>
        <family val="2"/>
      </rPr>
      <t xml:space="preserve">대조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</si>
  <si>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1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데이터모델 설계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마무리하고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단계로 넘어가기 전 마지막 관문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·ERD·API Contract 3</t>
    </r>
    <r>
      <rPr>
        <i val="true"/>
        <sz val="9"/>
        <rFont val="Noto Sans CJK SC"/>
        <family val="2"/>
      </rPr>
      <t xml:space="preserve">개 문서를 서로 대조 ② 불일치 발견시 즉시 정정 ③ 전부 일치해야 </t>
    </r>
    <r>
      <rPr>
        <i val="true"/>
        <sz val="9"/>
        <rFont val="Arial"/>
        <family val="0"/>
        <charset val="1"/>
      </rPr>
      <t xml:space="preserve">Freeze </t>
    </r>
    <r>
      <rPr>
        <i val="true"/>
        <sz val="9"/>
        <rFont val="Noto Sans CJK SC"/>
        <family val="2"/>
      </rPr>
      <t xml:space="preserve">선언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 구현 중간에 스키마 오류를 뒤늦게 발견해 대대적 재작업 필요</t>
    </r>
  </si>
  <si>
    <r>
      <rPr>
        <b val="true"/>
        <sz val="9"/>
        <rFont val="Noto Sans CJK SC"/>
        <family val="2"/>
      </rPr>
      <t xml:space="preserve">☐ 전날 순서대로 실행됨  ☐ 위 작업 전부 완료  ☐ </t>
    </r>
    <r>
      <rPr>
        <b val="true"/>
        <sz val="9"/>
        <rFont val="Arial"/>
        <family val="0"/>
        <charset val="1"/>
      </rPr>
      <t xml:space="preserve">git commit </t>
    </r>
    <r>
      <rPr>
        <b val="true"/>
        <sz val="9"/>
        <rFont val="Noto Sans CJK SC"/>
        <family val="2"/>
      </rPr>
      <t xml:space="preserve">완료  ☐ 전날 백업 실행</t>
    </r>
    <r>
      <rPr>
        <b val="true"/>
        <sz val="9"/>
        <rFont val="Arial"/>
        <family val="0"/>
        <charset val="1"/>
      </rPr>
      <t xml:space="preserve">(backup_push.ps1/.bat </t>
    </r>
    <r>
      <rPr>
        <b val="true"/>
        <sz val="9"/>
        <rFont val="Noto Sans CJK SC"/>
        <family val="2"/>
      </rPr>
      <t xml:space="preserve">더블클릭 → </t>
    </r>
    <r>
      <rPr>
        <b val="true"/>
        <sz val="9"/>
        <rFont val="Arial"/>
        <family val="0"/>
        <charset val="1"/>
      </rPr>
      <t xml:space="preserve">git push+Desktop </t>
    </r>
    <r>
      <rPr>
        <b val="true"/>
        <sz val="9"/>
        <rFont val="Noto Sans CJK SC"/>
        <family val="2"/>
      </rPr>
      <t xml:space="preserve">미러백업</t>
    </r>
    <r>
      <rPr>
        <b val="true"/>
        <sz val="9"/>
        <rFont val="Arial"/>
        <family val="0"/>
        <charset val="1"/>
      </rPr>
      <t xml:space="preserve">)  ☐ </t>
    </r>
    <r>
      <rPr>
        <b val="true"/>
        <sz val="9"/>
        <rFont val="Noto Sans CJK SC"/>
        <family val="2"/>
      </rPr>
      <t xml:space="preserve">검증 체크 완료  ☐ 🔍 오늘은 검증일</t>
    </r>
    <r>
      <rPr>
        <b val="true"/>
        <sz val="9"/>
        <rFont val="Arial"/>
        <family val="0"/>
        <charset val="1"/>
      </rPr>
      <t xml:space="preserve">! DoD </t>
    </r>
    <r>
      <rPr>
        <b val="true"/>
        <sz val="9"/>
        <rFont val="Noto Sans CJK SC"/>
        <family val="2"/>
      </rPr>
      <t xml:space="preserve">결과 </t>
    </r>
    <r>
      <rPr>
        <b val="true"/>
        <sz val="9"/>
        <rFont val="Arial"/>
        <family val="0"/>
        <charset val="1"/>
      </rPr>
      <t xml:space="preserve">'9</t>
    </r>
    <r>
      <rPr>
        <b val="true"/>
        <sz val="9"/>
        <rFont val="Noto Sans CJK SC"/>
        <family val="2"/>
      </rPr>
      <t xml:space="preserve">단계 검증 체크리스트</t>
    </r>
    <r>
      <rPr>
        <b val="true"/>
        <sz val="9"/>
        <rFont val="Arial"/>
        <family val="0"/>
        <charset val="1"/>
      </rPr>
      <t xml:space="preserve">' </t>
    </r>
    <r>
      <rPr>
        <b val="true"/>
        <sz val="9"/>
        <rFont val="Noto Sans CJK SC"/>
        <family val="2"/>
      </rPr>
      <t xml:space="preserve">시트에 기록</t>
    </r>
  </si>
  <si>
    <r>
      <rPr>
        <b val="true"/>
        <sz val="9"/>
        <rFont val="Noto Sans CJK SC"/>
        <family val="2"/>
      </rPr>
      <t xml:space="preserve">메모</t>
    </r>
    <r>
      <rPr>
        <b val="true"/>
        <sz val="9"/>
        <rFont val="Arial"/>
        <family val="0"/>
        <charset val="1"/>
      </rPr>
      <t xml:space="preserve">:</t>
    </r>
  </si>
  <si>
    <r>
      <rPr>
        <b val="true"/>
        <sz val="13"/>
        <color rgb="FFFFFFFF"/>
        <rFont val="Arial"/>
        <family val="0"/>
        <charset val="1"/>
      </rPr>
      <t xml:space="preserve">📅 2026-09-05(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</si>
  <si>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로컬 개발 </t>
    </r>
    <r>
      <rPr>
        <b val="true"/>
        <i val="true"/>
        <sz val="10"/>
        <color rgb="FF1F4E78"/>
        <rFont val="Arial"/>
        <family val="0"/>
        <charset val="1"/>
      </rPr>
      <t xml:space="preserve">DB</t>
    </r>
    <r>
      <rPr>
        <b val="true"/>
        <i val="true"/>
        <sz val="10"/>
        <color rgb="FF1F4E78"/>
        <rFont val="Noto Sans CJK SC"/>
        <family val="2"/>
      </rPr>
      <t xml:space="preserve">를 </t>
    </r>
    <r>
      <rPr>
        <b val="true"/>
        <i val="true"/>
        <sz val="10"/>
        <color rgb="FF1F4E78"/>
        <rFont val="Arial"/>
        <family val="0"/>
        <charset val="1"/>
      </rPr>
      <t xml:space="preserve">Docker Postgres</t>
    </r>
    <r>
      <rPr>
        <b val="true"/>
        <i val="true"/>
        <sz val="10"/>
        <color rgb="FF1F4E78"/>
        <rFont val="Noto Sans CJK SC"/>
        <family val="2"/>
      </rPr>
      <t xml:space="preserve">로 전환 결정 및 세팅</t>
    </r>
    <r>
      <rPr>
        <b val="true"/>
        <i val="true"/>
        <sz val="10"/>
        <color rgb="FF1F4E78"/>
        <rFont val="Arial"/>
        <family val="0"/>
        <charset val="1"/>
      </rPr>
      <t xml:space="preserve">(MariaDB </t>
    </r>
    <r>
      <rPr>
        <b val="true"/>
        <i val="true"/>
        <sz val="10"/>
        <color rgb="FF1F4E78"/>
        <rFont val="Noto Sans CJK SC"/>
        <family val="2"/>
      </rPr>
      <t xml:space="preserve">대신</t>
    </r>
    <r>
      <rPr>
        <b val="true"/>
        <i val="true"/>
        <sz val="10"/>
        <color rgb="FF1F4E78"/>
        <rFont val="Arial"/>
        <family val="0"/>
        <charset val="1"/>
      </rPr>
      <t xml:space="preserve">, </t>
    </r>
    <r>
      <rPr>
        <b val="true"/>
        <i val="true"/>
        <sz val="10"/>
        <color rgb="FF1F4E78"/>
        <rFont val="Noto Sans CJK SC"/>
        <family val="2"/>
      </rPr>
      <t xml:space="preserve">문법불일치 리스크 원천차단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</si>
  <si>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직접실행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</si>
  <si>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
⚠ </t>
    </r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</si>
  <si>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Noto Sans CJK SC"/>
        <family val="2"/>
      </rPr>
      <t xml:space="preserve">▶ 로컬 </t>
    </r>
    <r>
      <rPr>
        <sz val="9"/>
        <rFont val="Arial"/>
        <family val="0"/>
        <charset val="1"/>
      </rPr>
      <t xml:space="preserve">Docker</t>
    </r>
    <r>
      <rPr>
        <sz val="9"/>
        <rFont val="Noto Sans CJK SC"/>
        <family val="2"/>
      </rPr>
      <t xml:space="preserve">와 배포</t>
    </r>
    <r>
      <rPr>
        <sz val="9"/>
        <rFont val="Arial"/>
        <family val="0"/>
        <charset val="1"/>
      </rPr>
      <t xml:space="preserve">(Supabase) PostgreSQL </t>
    </r>
    <r>
      <rPr>
        <sz val="9"/>
        <rFont val="Noto Sans CJK SC"/>
        <family val="2"/>
      </rPr>
      <t xml:space="preserve">메이저 버전을 반드시 맞출 것</t>
    </r>
    <r>
      <rPr>
        <sz val="9"/>
        <rFont val="Arial"/>
        <family val="0"/>
        <charset val="1"/>
      </rPr>
      <t xml:space="preserve">(9/5</t>
    </r>
    <r>
      <rPr>
        <sz val="9"/>
        <rFont val="Noto Sans CJK SC"/>
        <family val="2"/>
      </rPr>
      <t xml:space="preserve">에 </t>
    </r>
    <r>
      <rPr>
        <sz val="9"/>
        <rFont val="Arial"/>
        <family val="0"/>
        <charset val="1"/>
      </rPr>
      <t xml:space="preserve">16≠17</t>
    </r>
    <r>
      <rPr>
        <sz val="9"/>
        <rFont val="Noto Sans CJK SC"/>
        <family val="2"/>
      </rPr>
      <t xml:space="preserve">로 어긋난 걸 뒤늦게 발견한 전례 있음</t>
    </r>
    <r>
      <rPr>
        <sz val="9"/>
        <rFont val="Arial"/>
        <family val="0"/>
        <charset val="1"/>
      </rPr>
      <t xml:space="preserve">)
⚠ autogenerate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pgvector import·CREATE EXTENSION·PG15+ </t>
    </r>
    <r>
      <rPr>
        <sz val="9"/>
        <rFont val="Noto Sans CJK SC"/>
        <family val="2"/>
      </rPr>
      <t xml:space="preserve">전용 </t>
    </r>
    <r>
      <rPr>
        <sz val="9"/>
        <rFont val="Arial"/>
        <family val="0"/>
        <charset val="1"/>
      </rPr>
      <t xml:space="preserve">SET NULL(</t>
    </r>
    <r>
      <rPr>
        <sz val="9"/>
        <rFont val="Noto Sans CJK SC"/>
        <family val="2"/>
      </rPr>
      <t xml:space="preserve">컬럼목록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문법을 자동으로 못 잡아냄 — 생성된 마이그레이션 파일을 반드시 직접 열어서 확인 후 </t>
    </r>
    <r>
      <rPr>
        <sz val="9"/>
        <rFont val="Arial"/>
        <family val="0"/>
        <charset val="1"/>
      </rPr>
      <t xml:space="preserve">upgrade</t>
    </r>
  </si>
  <si>
    <r>
      <rPr>
        <sz val="9"/>
        <rFont val="Arial"/>
        <family val="0"/>
        <charset val="1"/>
      </rPr>
      <t xml:space="preserve">▶ Render </t>
    </r>
    <r>
      <rPr>
        <sz val="9"/>
        <rFont val="Noto Sans CJK SC"/>
        <family val="2"/>
      </rPr>
      <t xml:space="preserve">무료플랜 슬립방지가 유일한 목적 — 이 라우터에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조회</t>
    </r>
    <r>
      <rPr>
        <sz val="9"/>
        <rFont val="Arial"/>
        <family val="0"/>
        <charset val="1"/>
      </rPr>
      <t xml:space="preserve">(get_db </t>
    </r>
    <r>
      <rPr>
        <sz val="9"/>
        <rFont val="Noto Sans CJK SC"/>
        <family val="2"/>
      </rPr>
      <t xml:space="preserve">의존성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절대 추가하지 않는다
⚠ </t>
    </r>
    <r>
      <rPr>
        <sz val="9"/>
        <rFont val="Arial"/>
        <family val="0"/>
        <charset val="1"/>
      </rPr>
      <t xml:space="preserve">uvicorn</t>
    </r>
    <r>
      <rPr>
        <sz val="9"/>
        <rFont val="Noto Sans CJK SC"/>
        <family val="2"/>
      </rPr>
      <t xml:space="preserve">만 띄워놓고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됐다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고 넘기지 말 것 — 실제로 서버가 정상 기동해서 요청에 응답하는지까지 확인해야 진짜 완료</t>
    </r>
  </si>
  <si>
    <r>
      <rPr>
        <sz val="9"/>
        <rFont val="Arial"/>
        <family val="0"/>
        <charset val="1"/>
      </rPr>
      <t xml:space="preserve">▶ 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
⚠ 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</si>
  <si>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
⚠ 제출 직전 급하게 뭔가 더 고치려는 유혹을 참는다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</si>
  <si>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 개발 환경을 실제 배포 환경</t>
    </r>
    <r>
      <rPr>
        <i val="true"/>
        <sz val="9"/>
        <rFont val="Arial"/>
        <family val="0"/>
        <charset val="1"/>
      </rPr>
      <t xml:space="preserve">(Supabase PostgreSQL)</t>
    </r>
    <r>
      <rPr>
        <i val="true"/>
        <sz val="9"/>
        <rFont val="Noto Sans CJK SC"/>
        <family val="2"/>
      </rPr>
      <t xml:space="preserve">과 최대한 동일하게 맞춰야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MariaDB </t>
    </r>
    <r>
      <rPr>
        <i val="true"/>
        <sz val="9"/>
        <rFont val="Noto Sans CJK SC"/>
        <family val="2"/>
      </rPr>
      <t xml:space="preserve">대신 </t>
    </r>
    <r>
      <rPr>
        <i val="true"/>
        <sz val="9"/>
        <rFont val="Arial"/>
        <family val="0"/>
        <charset val="1"/>
      </rPr>
      <t xml:space="preserve">Docker</t>
    </r>
    <r>
      <rPr>
        <i val="true"/>
        <sz val="9"/>
        <rFont val="Noto Sans CJK SC"/>
        <family val="2"/>
      </rPr>
      <t xml:space="preserve">로 </t>
    </r>
    <r>
      <rPr>
        <i val="true"/>
        <sz val="9"/>
        <rFont val="Arial"/>
        <family val="0"/>
        <charset val="1"/>
      </rPr>
      <t xml:space="preserve">PostgreSQL 15 </t>
    </r>
    <r>
      <rPr>
        <i val="true"/>
        <sz val="9"/>
        <rFont val="Noto Sans CJK SC"/>
        <family val="2"/>
      </rPr>
      <t xml:space="preserve">실행 ② </t>
    </r>
    <r>
      <rPr>
        <i val="true"/>
        <sz val="9"/>
        <rFont val="Arial"/>
        <family val="0"/>
        <charset val="1"/>
      </rPr>
      <t xml:space="preserve">pgvector </t>
    </r>
    <r>
      <rPr>
        <i val="true"/>
        <sz val="9"/>
        <rFont val="Noto Sans CJK SC"/>
        <family val="2"/>
      </rPr>
      <t xml:space="preserve">확장까지 포함된 이미지로 세팅 ③ 로컬</t>
    </r>
    <r>
      <rPr>
        <i val="true"/>
        <sz val="9"/>
        <rFont val="Arial"/>
        <family val="0"/>
        <charset val="1"/>
      </rPr>
      <t xml:space="preserve">=</t>
    </r>
    <r>
      <rPr>
        <i val="true"/>
        <sz val="9"/>
        <rFont val="Noto Sans CJK SC"/>
        <family val="2"/>
      </rPr>
      <t xml:space="preserve">배포 문법 통일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로컬은 </t>
    </r>
    <r>
      <rPr>
        <i val="true"/>
        <sz val="9"/>
        <rFont val="Arial"/>
        <family val="0"/>
        <charset val="1"/>
      </rPr>
      <t xml:space="preserve">MariaDB, </t>
    </r>
    <r>
      <rPr>
        <i val="true"/>
        <sz val="9"/>
        <rFont val="Noto Sans CJK SC"/>
        <family val="2"/>
      </rPr>
      <t xml:space="preserve">배포는 </t>
    </r>
    <r>
      <rPr>
        <i val="true"/>
        <sz val="9"/>
        <rFont val="Arial"/>
        <family val="0"/>
        <charset val="1"/>
      </rPr>
      <t xml:space="preserve">PostgreSQL</t>
    </r>
    <r>
      <rPr>
        <i val="true"/>
        <sz val="9"/>
        <rFont val="Noto Sans CJK SC"/>
        <family val="2"/>
      </rPr>
      <t xml:space="preserve">로 다르면 나중에 문법 차이로 인한 오류를 배포 직전에야 발견하게 됨</t>
    </r>
  </si>
  <si>
    <r>
      <rPr>
        <b val="true"/>
        <sz val="13"/>
        <color rgb="FFFFFFFF"/>
        <rFont val="Arial"/>
        <family val="0"/>
        <charset val="1"/>
      </rPr>
      <t xml:space="preserve">📅 2026-09-07(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</si>
  <si>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전체 화면목록 확정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로그인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대시보드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온보딩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단계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캘린더</t>
    </r>
    <r>
      <rPr>
        <b val="true"/>
        <i val="true"/>
        <sz val="10"/>
        <color rgb="FF1F4E78"/>
        <rFont val="Arial"/>
        <family val="0"/>
        <charset val="1"/>
      </rPr>
      <t xml:space="preserve">·AI</t>
    </r>
    <r>
      <rPr>
        <b val="true"/>
        <i val="true"/>
        <sz val="10"/>
        <color rgb="FF1F4E78"/>
        <rFont val="Noto Sans CJK SC"/>
        <family val="2"/>
      </rPr>
      <t xml:space="preserve">인박스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체크인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청소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정산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가격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컴플라이언스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설정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</si>
  <si>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t xml:space="preserve">☐</t>
  </si>
  <si>
    <r>
      <rPr>
        <sz val="9"/>
        <rFont val="Noto Sans CJK SC"/>
        <family val="2"/>
      </rPr>
      <t xml:space="preserve">▶ 빠진 화면이 없는지가 핵심 — 로그인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화면을 특히 놓치기 쉬움
⚠ 와이어프레임을 너무 디테일하게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낭비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저해상도로 충분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</si>
  <si>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코드를 짜기 전에 전체 화면 목록이 먼저 확정되어야 프론트엔드 개발이 헤매지 않음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로그인부터 설정까지 전체 화면 목록 확정 ② </t>
    </r>
    <r>
      <rPr>
        <i val="true"/>
        <sz val="9"/>
        <rFont val="Arial"/>
        <family val="0"/>
        <charset val="1"/>
      </rPr>
      <t xml:space="preserve">User Flow </t>
    </r>
    <r>
      <rPr>
        <i val="true"/>
        <sz val="9"/>
        <rFont val="Noto Sans CJK SC"/>
        <family val="2"/>
      </rPr>
      <t xml:space="preserve">다이어그램으로 화면간 이동 흐름 정리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설계 없이 바로 코딩하면 화면이 중구난방으로 만들어져 나중에 대대적 재작업 필요</t>
    </r>
  </si>
  <si>
    <r>
      <rPr>
        <b val="true"/>
        <sz val="13"/>
        <color rgb="FFFFFFFF"/>
        <rFont val="Arial"/>
        <family val="0"/>
        <charset val="1"/>
      </rPr>
      <t xml:space="preserve">📅 2026-09-08(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</si>
  <si>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통합 대시보드 뼈대</t>
    </r>
    <r>
      <rPr>
        <b val="true"/>
        <i val="true"/>
        <sz val="10"/>
        <color rgb="FF1F4E78"/>
        <rFont val="Arial"/>
        <family val="0"/>
        <charset val="1"/>
      </rPr>
      <t xml:space="preserve">(3~5</t>
    </r>
    <r>
      <rPr>
        <b val="true"/>
        <i val="true"/>
        <sz val="10"/>
        <color rgb="FF1F4E78"/>
        <rFont val="Noto Sans CJK SC"/>
        <family val="2"/>
      </rPr>
      <t xml:space="preserve">개 숙소 한눈에 보기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</si>
  <si>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로컬과 배포 환경을 최대한 동일하게 유지</t>
    </r>
    <r>
      <rPr>
        <sz val="9"/>
        <rFont val="Arial"/>
        <family val="0"/>
        <charset val="1"/>
      </rPr>
      <t xml:space="preserve">(dev/prod parity)
⚠ .env </t>
    </r>
    <r>
      <rPr>
        <sz val="9"/>
        <rFont val="Noto Sans CJK SC"/>
        <family val="2"/>
      </rPr>
      <t xml:space="preserve">파일이 실수로 커밋되지 않았는지 매번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</si>
  <si>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3~5</t>
    </r>
    <r>
      <rPr>
        <i val="true"/>
        <sz val="9"/>
        <rFont val="Noto Sans CJK SC"/>
        <family val="2"/>
      </rPr>
      <t xml:space="preserve">개 숙소를 운영하는 호스트가 한눈에 전체 현황을 보고 싶어함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 카드형 대시보드 뼈대 구현 ② 각 카드에 오늘의 체크인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아웃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청소상태 요약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숙소별로 화면을 따로 열어봐야 한다면 멀티호스트 핵심가치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한눈에 관리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자체가 무너짐</t>
    </r>
  </si>
  <si>
    <r>
      <rPr>
        <b val="true"/>
        <sz val="13"/>
        <color rgb="FFFFFFFF"/>
        <rFont val="Arial"/>
        <family val="0"/>
        <charset val="1"/>
      </rPr>
      <t xml:space="preserve">📅 2026-09-09(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</si>
  <si>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로그인 화면</t>
    </r>
    <r>
      <rPr>
        <b val="true"/>
        <i val="true"/>
        <sz val="10"/>
        <color rgb="FF1F4E78"/>
        <rFont val="Arial"/>
        <family val="0"/>
        <charset val="1"/>
      </rPr>
      <t xml:space="preserve">+API </t>
    </r>
    <r>
      <rPr>
        <b val="true"/>
        <i val="true"/>
        <sz val="10"/>
        <color rgb="FF1F4E78"/>
        <rFont val="Noto Sans CJK SC"/>
        <family val="2"/>
      </rPr>
      <t xml:space="preserve">설계</t>
    </r>
    <r>
      <rPr>
        <b val="true"/>
        <i val="true"/>
        <sz val="10"/>
        <color rgb="FF1F4E78"/>
        <rFont val="Arial"/>
        <family val="0"/>
        <charset val="1"/>
      </rPr>
      <t xml:space="preserve">(JWT)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</si>
  <si>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로그인이 이후 모든 기능의 출입문 역할을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회원가입 화면 설계 ② </t>
    </r>
    <r>
      <rPr>
        <i val="true"/>
        <sz val="9"/>
        <rFont val="Arial"/>
        <family val="0"/>
        <charset val="1"/>
      </rPr>
      <t xml:space="preserve">JWT </t>
    </r>
    <r>
      <rPr>
        <i val="true"/>
        <sz val="9"/>
        <rFont val="Noto Sans CJK SC"/>
        <family val="2"/>
      </rPr>
      <t xml:space="preserve">기반 인증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스펙 확정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토큰 발급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검증 방식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인증 설계가 부실하면 나중에 다른 모든 </t>
    </r>
    <r>
      <rPr>
        <i val="true"/>
        <sz val="9"/>
        <rFont val="Arial"/>
        <family val="0"/>
        <charset val="1"/>
      </rPr>
      <t xml:space="preserve">API</t>
    </r>
    <r>
      <rPr>
        <i val="true"/>
        <sz val="9"/>
        <rFont val="Noto Sans CJK SC"/>
        <family val="2"/>
      </rPr>
      <t xml:space="preserve">에 보안 구멍이 생김</t>
    </r>
  </si>
  <si>
    <r>
      <rPr>
        <b val="true"/>
        <sz val="13"/>
        <color rgb="FFFFFFFF"/>
        <rFont val="Arial"/>
        <family val="0"/>
        <charset val="1"/>
      </rPr>
      <t xml:space="preserve">📅 2026-09-10(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</si>
  <si>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iCal </t>
    </r>
    <r>
      <rPr>
        <b val="true"/>
        <i val="true"/>
        <sz val="10"/>
        <color rgb="FF1F4E78"/>
        <rFont val="Noto Sans CJK SC"/>
        <family val="2"/>
      </rPr>
      <t xml:space="preserve">연동 </t>
    </r>
    <r>
      <rPr>
        <b val="true"/>
        <i val="true"/>
        <sz val="10"/>
        <color rgb="FF1F4E78"/>
        <rFont val="Arial"/>
        <family val="0"/>
        <charset val="1"/>
      </rPr>
      <t xml:space="preserve">+ ChannelConnection </t>
    </r>
    <r>
      <rPr>
        <b val="true"/>
        <i val="true"/>
        <sz val="10"/>
        <color rgb="FF1F4E78"/>
        <rFont val="Noto Sans CJK SC"/>
        <family val="2"/>
      </rPr>
      <t xml:space="preserve">구현</t>
    </r>
    <r>
      <rPr>
        <b val="true"/>
        <i val="true"/>
        <sz val="10"/>
        <color rgb="FF1F4E78"/>
        <rFont val="Arial"/>
        <family val="0"/>
        <charset val="1"/>
      </rPr>
      <t xml:space="preserve">(sync_status/last_synced_at </t>
    </r>
    <r>
      <rPr>
        <b val="true"/>
        <i val="true"/>
        <sz val="10"/>
        <color rgb="FF1F4E78"/>
        <rFont val="Noto Sans CJK SC"/>
        <family val="2"/>
      </rPr>
      <t xml:space="preserve">표시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</si>
  <si>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이 프로젝트에서 유일하게 완전히 실제</t>
    </r>
    <r>
      <rPr>
        <sz val="9"/>
        <rFont val="Arial"/>
        <family val="0"/>
        <charset val="1"/>
      </rPr>
      <t xml:space="preserve">(Real) </t>
    </r>
    <r>
      <rPr>
        <sz val="9"/>
        <rFont val="Noto Sans CJK SC"/>
        <family val="2"/>
      </rPr>
      <t xml:space="preserve">동작하는 외부연동 — 심사 신뢰도의 핵심 앵커
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</si>
  <si>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에어비앤비 등 외부 플랫폼 예약을 우리 시스템이 실시간으로 인지해야 오버부킹을 막을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iCal URL </t>
    </r>
    <r>
      <rPr>
        <i val="true"/>
        <sz val="9"/>
        <rFont val="Noto Sans CJK SC"/>
        <family val="2"/>
      </rPr>
      <t xml:space="preserve">연동 구현 ② </t>
    </r>
    <r>
      <rPr>
        <i val="true"/>
        <sz val="9"/>
        <rFont val="Arial"/>
        <family val="0"/>
        <charset val="1"/>
      </rPr>
      <t xml:space="preserve">ChannelConnection </t>
    </r>
    <r>
      <rPr>
        <i val="true"/>
        <sz val="9"/>
        <rFont val="Noto Sans CJK SC"/>
        <family val="2"/>
      </rPr>
      <t xml:space="preserve">모델로 동기화 상태</t>
    </r>
    <r>
      <rPr>
        <i val="true"/>
        <sz val="9"/>
        <rFont val="Arial"/>
        <family val="0"/>
        <charset val="1"/>
      </rPr>
      <t xml:space="preserve">(sync_status)·</t>
    </r>
    <r>
      <rPr>
        <i val="true"/>
        <sz val="9"/>
        <rFont val="Noto Sans CJK SC"/>
        <family val="2"/>
      </rPr>
      <t xml:space="preserve">최근동기화시각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외부 예약을 못 읽어오면 지금처럼 매번 수동으로 여러 캘린더를 대조해야 함</t>
    </r>
  </si>
  <si>
    <r>
      <rPr>
        <b val="true"/>
        <sz val="13"/>
        <color rgb="FFFFFFFF"/>
        <rFont val="Arial"/>
        <family val="0"/>
        <charset val="1"/>
      </rPr>
      <t xml:space="preserve">📅 2026-09-11(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</si>
  <si>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로그인 화면</t>
    </r>
    <r>
      <rPr>
        <b val="true"/>
        <i val="true"/>
        <sz val="10"/>
        <color rgb="FF1F4E78"/>
        <rFont val="Arial"/>
        <family val="0"/>
        <charset val="1"/>
      </rPr>
      <t xml:space="preserve">+API </t>
    </r>
    <r>
      <rPr>
        <b val="true"/>
        <i val="true"/>
        <sz val="10"/>
        <color rgb="FF1F4E78"/>
        <rFont val="Noto Sans CJK SC"/>
        <family val="2"/>
      </rPr>
      <t xml:space="preserve">구현</t>
    </r>
    <r>
      <rPr>
        <b val="true"/>
        <i val="true"/>
        <sz val="10"/>
        <color rgb="FF1F4E78"/>
        <rFont val="Arial"/>
        <family val="0"/>
        <charset val="1"/>
      </rPr>
      <t xml:space="preserve">(JWT, </t>
    </r>
    <r>
      <rPr>
        <b val="true"/>
        <i val="true"/>
        <sz val="10"/>
        <color rgb="FF1F4E78"/>
        <rFont val="Noto Sans CJK SC"/>
        <family val="2"/>
      </rPr>
      <t xml:space="preserve">비밀번호는 </t>
    </r>
    <r>
      <rPr>
        <b val="true"/>
        <i val="true"/>
        <sz val="10"/>
        <color rgb="FF1F4E78"/>
        <rFont val="Arial"/>
        <family val="0"/>
        <charset val="1"/>
      </rPr>
      <t xml:space="preserve">bcrypt </t>
    </r>
    <r>
      <rPr>
        <b val="true"/>
        <i val="true"/>
        <sz val="10"/>
        <color rgb="FF1F4E78"/>
        <rFont val="Noto Sans CJK SC"/>
        <family val="2"/>
      </rPr>
      <t xml:space="preserve">해시로 저장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</si>
  <si>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비밀번호는 반드시 </t>
    </r>
    <r>
      <rPr>
        <sz val="9"/>
        <rFont val="Arial"/>
        <family val="0"/>
        <charset val="1"/>
      </rPr>
      <t xml:space="preserve">bcrypt</t>
    </r>
    <r>
      <rPr>
        <sz val="9"/>
        <rFont val="Noto Sans CJK SC"/>
        <family val="2"/>
      </rPr>
      <t xml:space="preserve">로 해시 저장
⚠ </t>
    </r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</si>
  <si>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9/9</t>
    </r>
    <r>
      <rPr>
        <i val="true"/>
        <sz val="9"/>
        <rFont val="Noto Sans CJK SC"/>
        <family val="2"/>
      </rPr>
      <t xml:space="preserve">에 설계한 인증 스펙을 실제로 동작하게 만들어야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 화면</t>
    </r>
    <r>
      <rPr>
        <i val="true"/>
        <sz val="9"/>
        <rFont val="Arial"/>
        <family val="0"/>
        <charset val="1"/>
      </rPr>
      <t xml:space="preserve">+API </t>
    </r>
    <r>
      <rPr>
        <i val="true"/>
        <sz val="9"/>
        <rFont val="Noto Sans CJK SC"/>
        <family val="2"/>
      </rPr>
      <t xml:space="preserve">실제 구현 ② 비밀번호는 반드시 </t>
    </r>
    <r>
      <rPr>
        <i val="true"/>
        <sz val="9"/>
        <rFont val="Arial"/>
        <family val="0"/>
        <charset val="1"/>
      </rPr>
      <t xml:space="preserve">bcrypt </t>
    </r>
    <r>
      <rPr>
        <i val="true"/>
        <sz val="9"/>
        <rFont val="Noto Sans CJK SC"/>
        <family val="2"/>
      </rPr>
      <t xml:space="preserve">해시로 저장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평문 저장 금지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비밀번호를 평문 저장하면 </t>
    </r>
    <r>
      <rPr>
        <i val="true"/>
        <sz val="9"/>
        <rFont val="Arial"/>
        <family val="0"/>
        <charset val="1"/>
      </rPr>
      <t xml:space="preserve">DB </t>
    </r>
    <r>
      <rPr>
        <i val="true"/>
        <sz val="9"/>
        <rFont val="Noto Sans CJK SC"/>
        <family val="2"/>
      </rPr>
      <t xml:space="preserve">유출시 모든 계정이 그대로 뚫리는 최악의 보안사고</t>
    </r>
  </si>
  <si>
    <r>
      <rPr>
        <b val="true"/>
        <sz val="13"/>
        <color rgb="FFFFFFFF"/>
        <rFont val="Arial"/>
        <family val="0"/>
        <charset val="1"/>
      </rPr>
      <t xml:space="preserve">📅 2026-09-12(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</si>
  <si>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통합 캘린더 뷰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독채</t>
    </r>
    <r>
      <rPr>
        <b val="true"/>
        <i val="true"/>
        <sz val="10"/>
        <color rgb="FF1F4E78"/>
        <rFont val="Arial"/>
        <family val="0"/>
        <charset val="1"/>
      </rPr>
      <t xml:space="preserve">=Property</t>
    </r>
    <r>
      <rPr>
        <b val="true"/>
        <i val="true"/>
        <sz val="10"/>
        <color rgb="FF1F4E78"/>
        <rFont val="Noto Sans CJK SC"/>
        <family val="2"/>
      </rPr>
      <t xml:space="preserve">행 </t>
    </r>
    <r>
      <rPr>
        <b val="true"/>
        <i val="true"/>
        <sz val="10"/>
        <color rgb="FF1F4E78"/>
        <rFont val="Arial"/>
        <family val="0"/>
        <charset val="1"/>
      </rPr>
      <t xml:space="preserve">/ </t>
    </r>
    <r>
      <rPr>
        <b val="true"/>
        <i val="true"/>
        <sz val="10"/>
        <color rgb="FF1F4E78"/>
        <rFont val="Noto Sans CJK SC"/>
        <family val="2"/>
      </rPr>
      <t xml:space="preserve">호스텔</t>
    </r>
    <r>
      <rPr>
        <b val="true"/>
        <i val="true"/>
        <sz val="10"/>
        <color rgb="FF1F4E78"/>
        <rFont val="Arial"/>
        <family val="0"/>
        <charset val="1"/>
      </rPr>
      <t xml:space="preserve">=Room </t>
    </r>
    <r>
      <rPr>
        <b val="true"/>
        <i val="true"/>
        <sz val="10"/>
        <color rgb="FF1F4E78"/>
        <rFont val="Noto Sans CJK SC"/>
        <family val="2"/>
      </rPr>
      <t xml:space="preserve">아코디언</t>
    </r>
    <r>
      <rPr>
        <b val="true"/>
        <i val="true"/>
        <sz val="10"/>
        <color rgb="FF1F4E78"/>
        <rFont val="Arial"/>
        <family val="0"/>
        <charset val="1"/>
      </rPr>
      <t xml:space="preserve">-Bed</t>
    </r>
    <r>
      <rPr>
        <b val="true"/>
        <i val="true"/>
        <sz val="10"/>
        <color rgb="FF1F4E78"/>
        <rFont val="Noto Sans CJK SC"/>
        <family val="2"/>
      </rPr>
      <t xml:space="preserve">행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</si>
  <si>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같은 캘린더 화면에서 봐야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독채는 </t>
    </r>
    <r>
      <rPr>
        <i val="true"/>
        <sz val="9"/>
        <rFont val="Arial"/>
        <family val="0"/>
        <charset val="1"/>
      </rPr>
      <t xml:space="preserve">Property </t>
    </r>
    <r>
      <rPr>
        <i val="true"/>
        <sz val="9"/>
        <rFont val="Noto Sans CJK SC"/>
        <family val="2"/>
      </rPr>
      <t xml:space="preserve">단위 한 줄로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호스텔은 </t>
    </r>
    <r>
      <rPr>
        <i val="true"/>
        <sz val="9"/>
        <rFont val="Arial"/>
        <family val="0"/>
        <charset val="1"/>
      </rPr>
      <t xml:space="preserve">Room</t>
    </r>
    <r>
      <rPr>
        <i val="true"/>
        <sz val="9"/>
        <rFont val="Noto Sans CJK SC"/>
        <family val="2"/>
      </rPr>
      <t xml:space="preserve">별 아코디언 펼쳐서 </t>
    </r>
    <r>
      <rPr>
        <i val="true"/>
        <sz val="9"/>
        <rFont val="Arial"/>
        <family val="0"/>
        <charset val="1"/>
      </rPr>
      <t xml:space="preserve">Bed</t>
    </r>
    <r>
      <rPr>
        <i val="true"/>
        <sz val="9"/>
        <rFont val="Noto Sans CJK SC"/>
        <family val="2"/>
      </rPr>
      <t xml:space="preserve">까지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두 운영방식을 같은 방식으로 억지로 표시하면 호스텔 쪽 예약현황을 한눈에 파악 못함</t>
    </r>
  </si>
  <si>
    <r>
      <rPr>
        <b val="true"/>
        <sz val="13"/>
        <color rgb="FFFFFFFF"/>
        <rFont val="Arial"/>
        <family val="0"/>
        <charset val="1"/>
      </rPr>
      <t xml:space="preserve">📅 2026-09-14(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</si>
  <si>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Property </t>
    </r>
    <r>
      <rPr>
        <b val="true"/>
        <i val="true"/>
        <sz val="10"/>
        <color rgb="FF1F4E78"/>
        <rFont val="Noto Sans CJK SC"/>
        <family val="2"/>
      </rPr>
      <t xml:space="preserve">전체대여시 하위 </t>
    </r>
    <r>
      <rPr>
        <b val="true"/>
        <i val="true"/>
        <sz val="10"/>
        <color rgb="FF1F4E78"/>
        <rFont val="Arial"/>
        <family val="0"/>
        <charset val="1"/>
      </rPr>
      <t xml:space="preserve">Room </t>
    </r>
    <r>
      <rPr>
        <b val="true"/>
        <i val="true"/>
        <sz val="10"/>
        <color rgb="FF1F4E78"/>
        <rFont val="Noto Sans CJK SC"/>
        <family val="2"/>
      </rPr>
      <t xml:space="preserve">전체 블록 인터셉터 구현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본인 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룸숙소 핵심케이스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</si>
  <si>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
⚠ 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</si>
  <si>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룸이 통예약으로 확정된 상태에서 실수로 방 하나만 따로 예약 시도하는 상황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Property </t>
    </r>
    <r>
      <rPr>
        <i val="true"/>
        <sz val="9"/>
        <rFont val="Noto Sans CJK SC"/>
        <family val="2"/>
      </rPr>
      <t xml:space="preserve">전체대여 확정시 하위 </t>
    </r>
    <r>
      <rPr>
        <i val="true"/>
        <sz val="9"/>
        <rFont val="Arial"/>
        <family val="0"/>
        <charset val="1"/>
      </rPr>
      <t xml:space="preserve">Room 3</t>
    </r>
    <r>
      <rPr>
        <i val="true"/>
        <sz val="9"/>
        <rFont val="Noto Sans CJK SC"/>
        <family val="2"/>
      </rPr>
      <t xml:space="preserve">개 모두 자동 잠금 ② 개별 </t>
    </r>
    <r>
      <rPr>
        <i val="true"/>
        <sz val="9"/>
        <rFont val="Arial"/>
        <family val="0"/>
        <charset val="1"/>
      </rPr>
      <t xml:space="preserve">Room </t>
    </r>
    <r>
      <rPr>
        <i val="true"/>
        <sz val="9"/>
        <rFont val="Noto Sans CJK SC"/>
        <family val="2"/>
      </rPr>
      <t xml:space="preserve">예약 시도시 시스템이 거부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이 인터셉터가 없으면 게스트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팀이 같은 방에 동시 도착하는 오버부킹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</si>
  <si>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2026-09-15(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</si>
  <si>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2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실제 </t>
    </r>
    <r>
      <rPr>
        <b val="true"/>
        <i val="true"/>
        <sz val="10"/>
        <color rgb="FF1F4E78"/>
        <rFont val="Arial"/>
        <family val="0"/>
        <charset val="1"/>
      </rPr>
      <t xml:space="preserve">iCal URL</t>
    </r>
    <r>
      <rPr>
        <b val="true"/>
        <i val="true"/>
        <sz val="10"/>
        <color rgb="FF1F4E78"/>
        <rFont val="Noto Sans CJK SC"/>
        <family val="2"/>
      </rPr>
      <t xml:space="preserve">로 캘린더 반영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중복감지 정상동작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</si>
  <si>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기반인프라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iCal </t>
    </r>
    <r>
      <rPr>
        <i val="true"/>
        <sz val="9"/>
        <rFont val="Noto Sans CJK SC"/>
        <family val="2"/>
      </rPr>
      <t xml:space="preserve">연동이 실제로 작동하는지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실제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로 캘린더 반영 테스트 ② 중복예약 감지가 정상 작동하는지 확인 ③ 통과해야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착수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배포 후에야 </t>
    </r>
    <r>
      <rPr>
        <i val="true"/>
        <sz val="9"/>
        <rFont val="Arial"/>
        <family val="0"/>
        <charset val="1"/>
      </rPr>
      <t xml:space="preserve">iCal </t>
    </r>
    <r>
      <rPr>
        <i val="true"/>
        <sz val="9"/>
        <rFont val="Noto Sans CJK SC"/>
        <family val="2"/>
      </rPr>
      <t xml:space="preserve">연동 버그를 발견하는 위험</t>
    </r>
  </si>
  <si>
    <r>
      <rPr>
        <b val="true"/>
        <sz val="13"/>
        <color rgb="FFFFFFFF"/>
        <rFont val="Arial"/>
        <family val="0"/>
        <charset val="1"/>
      </rPr>
      <t xml:space="preserve">📅 2026-09-17(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</si>
  <si>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자체 통합 인박스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게스트 채팅 시뮬레이터 </t>
    </r>
    <r>
      <rPr>
        <b val="true"/>
        <i val="true"/>
        <sz val="10"/>
        <color rgb="FF1F4E78"/>
        <rFont val="Arial"/>
        <family val="0"/>
        <charset val="1"/>
      </rPr>
      <t xml:space="preserve">UI)</t>
    </r>
  </si>
  <si>
    <r>
      <rPr>
        <sz val="9"/>
        <rFont val="Noto Sans CJK SC"/>
        <family val="2"/>
      </rPr>
      <t xml:space="preserve">▶ 비용통제 아키텍처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회 통합호출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원칙을 벗어나지 않는다
⚠ </t>
    </r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</si>
  <si>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 문의를 실제 카카오톡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에어비앤비 메시지처럼 시뮬레이션할 화면이 필요함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통합 인박스 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게스트 채팅 시뮬레이터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문의 목록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대화창 형태로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시뮬레이터 없이는 </t>
    </r>
    <r>
      <rPr>
        <i val="true"/>
        <sz val="9"/>
        <rFont val="Arial"/>
        <family val="0"/>
        <charset val="1"/>
      </rPr>
      <t xml:space="preserve">AI </t>
    </r>
    <r>
      <rPr>
        <i val="true"/>
        <sz val="9"/>
        <rFont val="Noto Sans CJK SC"/>
        <family val="2"/>
      </rPr>
      <t xml:space="preserve">응대 기능을 실제 게스트 없이 테스트할 방법이 없음</t>
    </r>
  </si>
  <si>
    <r>
      <rPr>
        <b val="true"/>
        <sz val="13"/>
        <color rgb="FFFFFFFF"/>
        <rFont val="Arial"/>
        <family val="0"/>
        <charset val="1"/>
      </rPr>
      <t xml:space="preserve">📅 2026-09-18(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</si>
  <si>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채널연결</t>
    </r>
    <r>
      <rPr>
        <b val="true"/>
        <i val="true"/>
        <sz val="10"/>
        <color rgb="FF1F4E78"/>
        <rFont val="Arial"/>
        <family val="0"/>
        <charset val="1"/>
      </rPr>
      <t xml:space="preserve">(iCal URL) </t>
    </r>
    <r>
      <rPr>
        <b val="true"/>
        <i val="true"/>
        <sz val="10"/>
        <color rgb="FF1F4E78"/>
        <rFont val="Noto Sans CJK SC"/>
        <family val="2"/>
      </rPr>
      <t xml:space="preserve">실패시 에러 안내 </t>
    </r>
    <r>
      <rPr>
        <b val="true"/>
        <i val="true"/>
        <sz val="10"/>
        <color rgb="FF1F4E78"/>
        <rFont val="Arial"/>
        <family val="0"/>
        <charset val="1"/>
      </rPr>
      <t xml:space="preserve">UI(</t>
    </r>
    <r>
      <rPr>
        <b val="true"/>
        <i val="true"/>
        <sz val="10"/>
        <color rgb="FF1F4E78"/>
        <rFont val="Noto Sans CJK SC"/>
        <family val="2"/>
      </rPr>
      <t xml:space="preserve">잘못된 </t>
    </r>
    <r>
      <rPr>
        <b val="true"/>
        <i val="true"/>
        <sz val="10"/>
        <color rgb="FF1F4E78"/>
        <rFont val="Arial"/>
        <family val="0"/>
        <charset val="1"/>
      </rPr>
      <t xml:space="preserve">URL/</t>
    </r>
    <r>
      <rPr>
        <b val="true"/>
        <i val="true"/>
        <sz val="10"/>
        <color rgb="FF1F4E78"/>
        <rFont val="Noto Sans CJK SC"/>
        <family val="2"/>
      </rPr>
      <t xml:space="preserve">파싱실패 케이스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</si>
  <si>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호스트가 채널연결시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을 잘못 입력하는 경우가 실제로 자주 발생함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잘못된 </t>
    </r>
    <r>
      <rPr>
        <i val="true"/>
        <sz val="9"/>
        <rFont val="Arial"/>
        <family val="0"/>
        <charset val="1"/>
      </rPr>
      <t xml:space="preserve">URL·</t>
    </r>
    <r>
      <rPr>
        <i val="true"/>
        <sz val="9"/>
        <rFont val="Noto Sans CJK SC"/>
        <family val="2"/>
      </rPr>
      <t xml:space="preserve">파싱실패 케이스 감지 ② 명확한 에러 메시지로 안내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재입력 유도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에러 처리 없이 조용히 실패하면 호스트가 캘린더가 왜 안 뜨는지 원인을 못 찾음</t>
    </r>
  </si>
  <si>
    <r>
      <rPr>
        <b val="true"/>
        <sz val="13"/>
        <color rgb="FFFFFFFF"/>
        <rFont val="Arial"/>
        <family val="0"/>
        <charset val="1"/>
      </rPr>
      <t xml:space="preserve">📅 2026-09-19(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</si>
  <si>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숙소별 </t>
    </r>
    <r>
      <rPr>
        <b val="true"/>
        <i val="true"/>
        <sz val="10"/>
        <color rgb="FF1F4E78"/>
        <rFont val="Arial"/>
        <family val="0"/>
        <charset val="1"/>
      </rPr>
      <t xml:space="preserve">RAG </t>
    </r>
    <r>
      <rPr>
        <b val="true"/>
        <i val="true"/>
        <sz val="10"/>
        <color rgb="FF1F4E78"/>
        <rFont val="Noto Sans CJK SC"/>
        <family val="2"/>
      </rPr>
      <t xml:space="preserve">지식베이스 구축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로컬 벡터검색</t>
    </r>
    <r>
      <rPr>
        <b val="true"/>
        <i val="true"/>
        <sz val="10"/>
        <color rgb="FF1F4E78"/>
        <rFont val="Arial"/>
        <family val="0"/>
        <charset val="1"/>
      </rPr>
      <t xml:space="preserve">, LLM</t>
    </r>
    <r>
      <rPr>
        <b val="true"/>
        <i val="true"/>
        <sz val="10"/>
        <color rgb="FF1F4E78"/>
        <rFont val="Noto Sans CJK SC"/>
        <family val="2"/>
      </rPr>
      <t xml:space="preserve">비용無</t>
    </r>
    <r>
      <rPr>
        <b val="true"/>
        <i val="true"/>
        <sz val="10"/>
        <color rgb="FF1F4E78"/>
        <rFont val="Arial"/>
        <family val="0"/>
        <charset val="1"/>
      </rPr>
      <t xml:space="preserve">) + property_id </t>
    </r>
    <r>
      <rPr>
        <b val="true"/>
        <i val="true"/>
        <sz val="10"/>
        <color rgb="FF1F4E78"/>
        <rFont val="Noto Sans CJK SC"/>
        <family val="2"/>
      </rPr>
      <t xml:space="preserve">스코프 격리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개발용 응답캐시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동일질문 반복시 </t>
    </r>
    <r>
      <rPr>
        <b val="true"/>
        <i val="true"/>
        <sz val="10"/>
        <color rgb="FF1F4E78"/>
        <rFont val="Arial"/>
        <family val="0"/>
        <charset val="1"/>
      </rPr>
      <t xml:space="preserve">API </t>
    </r>
    <r>
      <rPr>
        <b val="true"/>
        <i val="true"/>
        <sz val="10"/>
        <color rgb="FF1F4E78"/>
        <rFont val="Noto Sans CJK SC"/>
        <family val="2"/>
      </rPr>
      <t xml:space="preserve">미호출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</si>
  <si>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
⚠ 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임베딩 모델 확정 시 </t>
    </r>
    <r>
      <rPr>
        <sz val="9"/>
        <rFont val="Arial"/>
        <family val="0"/>
        <charset val="1"/>
      </rPr>
      <t xml:space="preserve">EMBEDDING_DIM(</t>
    </r>
    <r>
      <rPr>
        <sz val="9"/>
        <rFont val="Noto Sans CJK SC"/>
        <family val="2"/>
      </rPr>
      <t xml:space="preserve">현재 </t>
    </r>
    <r>
      <rPr>
        <sz val="9"/>
        <rFont val="Arial"/>
        <family val="0"/>
        <charset val="1"/>
      </rPr>
      <t xml:space="preserve">384, all-MiniLM-L6-v2 </t>
    </r>
    <r>
      <rPr>
        <sz val="9"/>
        <rFont val="Noto Sans CJK SC"/>
        <family val="2"/>
      </rPr>
      <t xml:space="preserve">가정값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실제 선택 모델과 일치하는지 재확인 — 다르면 컬럼 마이그레이션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필요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</si>
  <si>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새벽에 게스트가 와이파이 비번을 물어봐도 호스트가 매번 직접 답할 순 없음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숙소별 </t>
    </r>
    <r>
      <rPr>
        <i val="true"/>
        <sz val="9"/>
        <rFont val="Arial"/>
        <family val="0"/>
        <charset val="1"/>
      </rPr>
      <t xml:space="preserve">RAG </t>
    </r>
    <r>
      <rPr>
        <i val="true"/>
        <sz val="9"/>
        <rFont val="Noto Sans CJK SC"/>
        <family val="2"/>
      </rPr>
      <t xml:space="preserve">지식베이스 구축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로컬 벡터검색</t>
    </r>
    <r>
      <rPr>
        <i val="true"/>
        <sz val="9"/>
        <rFont val="Arial"/>
        <family val="0"/>
        <charset val="1"/>
      </rPr>
      <t xml:space="preserve">) ② property_id</t>
    </r>
    <r>
      <rPr>
        <i val="true"/>
        <sz val="9"/>
        <rFont val="Noto Sans CJK SC"/>
        <family val="2"/>
      </rPr>
      <t xml:space="preserve">로 숙소간 지식 완전 격리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격리가 없으면 강남 정보가 홍대 게스트에게 잘못 전달되는 교차오답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</si>
  <si>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2026-09-21(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</si>
  <si>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LangGraph MAX_STEPS/recursion_limit </t>
    </r>
    <r>
      <rPr>
        <b val="true"/>
        <i val="true"/>
        <sz val="10"/>
        <color rgb="FF1F4E78"/>
        <rFont val="Noto Sans CJK SC"/>
        <family val="2"/>
      </rPr>
      <t xml:space="preserve">설정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재시도는 개별호출 </t>
    </r>
    <r>
      <rPr>
        <b val="true"/>
        <i val="true"/>
        <sz val="10"/>
        <color rgb="FF1F4E78"/>
        <rFont val="Arial"/>
        <family val="0"/>
        <charset val="1"/>
      </rPr>
      <t xml:space="preserve">2</t>
    </r>
    <r>
      <rPr>
        <b val="true"/>
        <i val="true"/>
        <sz val="10"/>
        <color rgb="FF1F4E78"/>
        <rFont val="Noto Sans CJK SC"/>
        <family val="2"/>
      </rPr>
      <t xml:space="preserve">회로 제한</t>
    </r>
    <r>
      <rPr>
        <b val="true"/>
        <i val="true"/>
        <sz val="10"/>
        <color rgb="FF1F4E78"/>
        <rFont val="Arial"/>
        <family val="0"/>
        <charset val="1"/>
      </rPr>
      <t xml:space="preserve">(1</t>
    </r>
    <r>
      <rPr>
        <b val="true"/>
        <i val="true"/>
        <sz val="10"/>
        <color rgb="FF1F4E78"/>
        <rFont val="Noto Sans CJK SC"/>
        <family val="2"/>
      </rPr>
      <t xml:space="preserve">문의</t>
    </r>
    <r>
      <rPr>
        <b val="true"/>
        <i val="true"/>
        <sz val="10"/>
        <color rgb="FF1F4E78"/>
        <rFont val="Arial"/>
        <family val="0"/>
        <charset val="1"/>
      </rPr>
      <t xml:space="preserve">=</t>
    </r>
    <r>
      <rPr>
        <b val="true"/>
        <i val="true"/>
        <sz val="10"/>
        <color rgb="FF1F4E78"/>
        <rFont val="Noto Sans CJK SC"/>
        <family val="2"/>
      </rPr>
      <t xml:space="preserve">최대</t>
    </r>
    <r>
      <rPr>
        <b val="true"/>
        <i val="true"/>
        <sz val="10"/>
        <color rgb="FF1F4E78"/>
        <rFont val="Arial"/>
        <family val="0"/>
        <charset val="1"/>
      </rPr>
      <t xml:space="preserve">3 Claude</t>
    </r>
    <r>
      <rPr>
        <b val="true"/>
        <i val="true"/>
        <sz val="10"/>
        <color rgb="FF1F4E78"/>
        <rFont val="Noto Sans CJK SC"/>
        <family val="2"/>
      </rPr>
      <t xml:space="preserve">호출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</si>
  <si>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AI </t>
    </r>
    <r>
      <rPr>
        <i val="true"/>
        <sz val="9"/>
        <rFont val="Noto Sans CJK SC"/>
        <family val="2"/>
      </rPr>
      <t xml:space="preserve">호출이 무한정 반복되면 비용이 통제 불가능하게 폭주할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재시도는 개별호출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회로 제한</t>
    </r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문의당 최대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회</t>
    </r>
    <r>
      <rPr>
        <i val="true"/>
        <sz val="9"/>
        <rFont val="Arial"/>
        <family val="0"/>
        <charset val="1"/>
      </rPr>
      <t xml:space="preserve">) ② MAX_STEPS</t>
    </r>
    <r>
      <rPr>
        <i val="true"/>
        <sz val="9"/>
        <rFont val="Noto Sans CJK SC"/>
        <family val="2"/>
      </rPr>
      <t xml:space="preserve">로 무한루프 원천 차단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제한이 없으면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장애시 재시도가 끝없이 반복되어 순식간에 비용 폭탄</t>
    </r>
  </si>
  <si>
    <r>
      <rPr>
        <b val="true"/>
        <sz val="13"/>
        <color rgb="FFFFFFFF"/>
        <rFont val="Arial"/>
        <family val="0"/>
        <charset val="1"/>
      </rPr>
      <t xml:space="preserve">📅 2026-09-22(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</si>
  <si>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외국인 게스트 언어 자동감지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다국어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영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중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일</t>
    </r>
    <r>
      <rPr>
        <b val="true"/>
        <i val="true"/>
        <sz val="10"/>
        <color rgb="FF1F4E78"/>
        <rFont val="Arial"/>
        <family val="0"/>
        <charset val="1"/>
      </rPr>
      <t xml:space="preserve">) </t>
    </r>
    <r>
      <rPr>
        <b val="true"/>
        <i val="true"/>
        <sz val="10"/>
        <color rgb="FF1F4E78"/>
        <rFont val="Noto Sans CJK SC"/>
        <family val="2"/>
      </rPr>
      <t xml:space="preserve">응답 생성</t>
    </r>
  </si>
  <si>
    <r>
      <rPr>
        <sz val="9"/>
        <rFont val="Noto Sans CJK SC"/>
        <family val="2"/>
      </rPr>
      <t xml:space="preserve">▶ 영어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중국어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일본어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개국어로 범위 고정
⚠ 언어 지원 확대는 범위관리 원칙상 금지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차로 미룰 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</si>
  <si>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외국인 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영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중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일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각자 자기 언어로 문의를 보냄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문의 언어 자동감지 ② 감지된 언어로 자동 응답 생성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한국어로만 응답하면 외국인 게스트 응대라는 핵심 가치 자체가 성립 안 함</t>
    </r>
  </si>
  <si>
    <r>
      <rPr>
        <b val="true"/>
        <sz val="13"/>
        <color rgb="FFFFFFFF"/>
        <rFont val="Arial"/>
        <family val="0"/>
        <charset val="1"/>
      </rPr>
      <t xml:space="preserve">📅 2026-09-23(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</si>
  <si>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예약 상세화면→</t>
    </r>
    <r>
      <rPr>
        <b val="true"/>
        <i val="true"/>
        <sz val="10"/>
        <color rgb="FF1F4E78"/>
        <rFont val="Arial"/>
        <family val="0"/>
        <charset val="1"/>
      </rPr>
      <t xml:space="preserve">AI</t>
    </r>
    <r>
      <rPr>
        <b val="true"/>
        <i val="true"/>
        <sz val="10"/>
        <color rgb="FF1F4E78"/>
        <rFont val="Noto Sans CJK SC"/>
        <family val="2"/>
      </rPr>
      <t xml:space="preserve">대화내역→</t>
    </r>
    <r>
      <rPr>
        <b val="true"/>
        <i val="true"/>
        <sz val="10"/>
        <color rgb="FF1F4E78"/>
        <rFont val="Arial"/>
        <family val="0"/>
        <charset val="1"/>
      </rPr>
      <t xml:space="preserve">Action Center </t>
    </r>
    <r>
      <rPr>
        <b val="true"/>
        <i val="true"/>
        <sz val="10"/>
        <color rgb="FF1F4E78"/>
        <rFont val="Noto Sans CJK SC"/>
        <family val="2"/>
      </rPr>
      <t xml:space="preserve">처리이력으로 이어지는 통합 딥링크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단일플로우 구현</t>
    </r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</si>
  <si>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
⚠ </t>
    </r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</si>
  <si>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예약 확인→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 확인→처리결과 확인이 화면마다 따로 놀면 </t>
    </r>
    <r>
      <rPr>
        <i val="true"/>
        <sz val="9"/>
        <rFont val="Arial"/>
        <family val="0"/>
        <charset val="1"/>
      </rPr>
      <t xml:space="preserve">'API </t>
    </r>
    <r>
      <rPr>
        <i val="true"/>
        <sz val="9"/>
        <rFont val="Noto Sans CJK SC"/>
        <family val="2"/>
      </rPr>
      <t xml:space="preserve">조합 툴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보임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예약상세→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대화내역→</t>
    </r>
    <r>
      <rPr>
        <i val="true"/>
        <sz val="9"/>
        <rFont val="Arial"/>
        <family val="0"/>
        <charset val="1"/>
      </rPr>
      <t xml:space="preserve">Action Center </t>
    </r>
    <r>
      <rPr>
        <i val="true"/>
        <sz val="9"/>
        <rFont val="Noto Sans CJK SC"/>
        <family val="2"/>
      </rPr>
      <t xml:space="preserve">처리이력을 하나의 흐름으로 딥링크 연결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화면이 분리돼 있으면 호스트가 매번 여러 메뉴를 오가며 정보를 짜맞춰야 함</t>
    </r>
  </si>
  <si>
    <r>
      <rPr>
        <b val="true"/>
        <sz val="13"/>
        <color rgb="FFFFFFFF"/>
        <rFont val="Arial"/>
        <family val="0"/>
        <charset val="1"/>
      </rPr>
      <t xml:space="preserve">📅 2026-09-26(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</si>
  <si>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위험도 분류 적용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자동</t>
    </r>
    <r>
      <rPr>
        <b val="true"/>
        <i val="true"/>
        <sz val="10"/>
        <color rgb="FF1F4E78"/>
        <rFont val="Arial"/>
        <family val="0"/>
        <charset val="1"/>
      </rPr>
      <t xml:space="preserve">:</t>
    </r>
    <r>
      <rPr>
        <b val="true"/>
        <i val="true"/>
        <sz val="10"/>
        <color rgb="FF1F4E78"/>
        <rFont val="Noto Sans CJK SC"/>
        <family val="2"/>
      </rPr>
      <t xml:space="preserve">와이파이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체크인시간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주차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비번 </t>
    </r>
    <r>
      <rPr>
        <b val="true"/>
        <i val="true"/>
        <sz val="10"/>
        <color rgb="FF1F4E78"/>
        <rFont val="Arial"/>
        <family val="0"/>
        <charset val="1"/>
      </rPr>
      <t xml:space="preserve">vs </t>
    </r>
    <r>
      <rPr>
        <b val="true"/>
        <i val="true"/>
        <sz val="10"/>
        <color rgb="FF1F4E78"/>
        <rFont val="Noto Sans CJK SC"/>
        <family val="2"/>
      </rPr>
      <t xml:space="preserve">승인필요</t>
    </r>
    <r>
      <rPr>
        <b val="true"/>
        <i val="true"/>
        <sz val="10"/>
        <color rgb="FF1F4E78"/>
        <rFont val="Arial"/>
        <family val="0"/>
        <charset val="1"/>
      </rPr>
      <t xml:space="preserve">:</t>
    </r>
    <r>
      <rPr>
        <b val="true"/>
        <i val="true"/>
        <sz val="10"/>
        <color rgb="FF1F4E78"/>
        <rFont val="Noto Sans CJK SC"/>
        <family val="2"/>
      </rPr>
      <t xml:space="preserve">환불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변경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할인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보상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민원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고장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안전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</si>
  <si>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자동응답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승인필요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명확히 분리
⚠ 이 기준표가 불명확하면 고위험 문의가 실수로 자동발송될 위험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</si>
  <si>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환불해주세요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금전이 걸린 문의를 보내는 경우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위험도를 자동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와이파이 등</t>
    </r>
    <r>
      <rPr>
        <i val="true"/>
        <sz val="9"/>
        <rFont val="Arial"/>
        <family val="0"/>
        <charset val="1"/>
      </rPr>
      <t xml:space="preserve">) vs </t>
    </r>
    <r>
      <rPr>
        <i val="true"/>
        <sz val="9"/>
        <rFont val="Noto Sans CJK SC"/>
        <family val="2"/>
      </rPr>
      <t xml:space="preserve">승인필요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환불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변경 등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로 분류 ② 승인필요 건은 </t>
    </r>
    <r>
      <rPr>
        <i val="true"/>
        <sz val="9"/>
        <rFont val="Arial"/>
        <family val="0"/>
        <charset val="1"/>
      </rPr>
      <t xml:space="preserve">Action Center</t>
    </r>
    <r>
      <rPr>
        <i val="true"/>
        <sz val="9"/>
        <rFont val="Noto Sans CJK SC"/>
        <family val="2"/>
      </rPr>
      <t xml:space="preserve">에서 호스트 확인 후에만 발송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구분 없이 전부 자동응답하면 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가 호스트도 모르게 환불을 약속하는 사고 위험</t>
    </r>
  </si>
  <si>
    <r>
      <rPr>
        <b val="true"/>
        <sz val="13"/>
        <color rgb="FFFFFFFF"/>
        <rFont val="Arial"/>
        <family val="0"/>
        <charset val="1"/>
      </rPr>
      <t xml:space="preserve">📅 2026-09-28(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</si>
  <si>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3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교차오답 테스트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의도적 </t>
    </r>
    <r>
      <rPr>
        <b val="true"/>
        <i val="true"/>
        <sz val="10"/>
        <color rgb="FF1F4E78"/>
        <rFont val="Arial"/>
        <family val="0"/>
        <charset val="1"/>
      </rPr>
      <t xml:space="preserve">API</t>
    </r>
    <r>
      <rPr>
        <b val="true"/>
        <i val="true"/>
        <sz val="10"/>
        <color rgb="FF1F4E78"/>
        <rFont val="Noto Sans CJK SC"/>
        <family val="2"/>
      </rPr>
      <t xml:space="preserve">실패 유발후 에러</t>
    </r>
    <r>
      <rPr>
        <b val="true"/>
        <i val="true"/>
        <sz val="10"/>
        <color rgb="FF1F4E78"/>
        <rFont val="Arial"/>
        <family val="0"/>
        <charset val="1"/>
      </rPr>
      <t xml:space="preserve">UI </t>
    </r>
    <r>
      <rPr>
        <b val="true"/>
        <i val="true"/>
        <sz val="10"/>
        <color rgb="FF1F4E78"/>
        <rFont val="Noto Sans CJK SC"/>
        <family val="2"/>
      </rPr>
      <t xml:space="preserve">확인</t>
    </r>
  </si>
  <si>
    <r>
      <rPr>
        <sz val="9"/>
        <rFont val="Noto Sans CJK SC"/>
        <family val="2"/>
      </rPr>
      <t xml:space="preserve">▶ 상태머신 순서</t>
    </r>
    <r>
      <rPr>
        <sz val="9"/>
        <rFont val="Arial"/>
        <family val="0"/>
        <charset val="1"/>
      </rPr>
      <t xml:space="preserve">(PENDING~VERIFIED/ISSUE)</t>
    </r>
    <r>
      <rPr>
        <sz val="9"/>
        <rFont val="Noto Sans CJK SC"/>
        <family val="2"/>
      </rPr>
      <t xml:space="preserve">를 정확히 지킨다
⚠ 체크아웃 이벤트당 청소작업이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</si>
  <si>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고객응대자동화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AI</t>
    </r>
    <r>
      <rPr>
        <i val="true"/>
        <sz val="9"/>
        <rFont val="Noto Sans CJK SC"/>
        <family val="2"/>
      </rPr>
      <t xml:space="preserve">가 실제로 안전하게 동작하는지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교차오답 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다른 숙소 정보 유출 여부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의도적으로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실패 유발 후 에러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응대 중 교차오답이나 먹통 화면을 처음 마주하게 됨</t>
    </r>
  </si>
  <si>
    <r>
      <rPr>
        <b val="true"/>
        <sz val="13"/>
        <color rgb="FFFFFFFF"/>
        <rFont val="Arial"/>
        <family val="0"/>
        <charset val="1"/>
      </rPr>
      <t xml:space="preserve">📅 2026-09-29(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</si>
  <si>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예약확정시 임시 비밀번호 자동생성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만료 로직</t>
    </r>
  </si>
  <si>
    <r>
      <rPr>
        <sz val="9"/>
        <rFont val="Arial"/>
        <family val="0"/>
        <charset val="1"/>
      </rPr>
      <t xml:space="preserve">▶ Mock</t>
    </r>
    <r>
      <rPr>
        <sz val="9"/>
        <rFont val="Noto Sans CJK SC"/>
        <family val="2"/>
      </rPr>
      <t xml:space="preserve">임을 화면에서 명확히 알 수 있게 한다
⚠ 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</si>
  <si>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r>
      <rPr>
        <sz val="9"/>
        <rFont val="Arial"/>
        <family val="0"/>
        <charset val="1"/>
      </rPr>
      <t xml:space="preserve">▶ 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</si>
  <si>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체크인 시각이 된 게스트에게 출입 방법을 안전하게 안내해야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예약확정시 임시 비밀번호 자동생성 ② 체크아웃 시각에 자동 만료 처리</t>
    </r>
    <r>
      <rPr>
        <i val="true"/>
        <sz val="9"/>
        <rFont val="Arial"/>
        <family val="0"/>
        <charset val="1"/>
      </rPr>
      <t xml:space="preserve">(Mock)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수동 발급이면 깜빡하고 비밀번호를 안 보내 게스트가 문 앞에서 못 들어가는 사고</t>
    </r>
  </si>
  <si>
    <r>
      <rPr>
        <b val="true"/>
        <sz val="13"/>
        <color rgb="FFFFFFFF"/>
        <rFont val="Arial"/>
        <family val="0"/>
        <charset val="1"/>
      </rPr>
      <t xml:space="preserve">📅 2026-09-30(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</si>
  <si>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Mock </t>
    </r>
    <r>
      <rPr>
        <b val="true"/>
        <i val="true"/>
        <sz val="10"/>
        <color rgb="FF1F4E78"/>
        <rFont val="Noto Sans CJK SC"/>
        <family val="2"/>
      </rPr>
      <t xml:space="preserve">락 상태 대시보드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잠김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열림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배터리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</si>
  <si>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스마트락 하드웨어 없이도 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 상태를 관리해야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Mock </t>
    </r>
    <r>
      <rPr>
        <i val="true"/>
        <sz val="9"/>
        <rFont val="Noto Sans CJK SC"/>
        <family val="2"/>
      </rPr>
      <t xml:space="preserve">락 상태 대시보드 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배터리 표시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실제 연동은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차 과제로 명확히 구분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하드웨어 연동을 무리하게 시도했다면 부트캠프 기간 내 완성 자체가 불가능</t>
    </r>
  </si>
  <si>
    <r>
      <rPr>
        <b val="true"/>
        <sz val="13"/>
        <color rgb="FFFFFFFF"/>
        <rFont val="Arial"/>
        <family val="0"/>
        <charset val="1"/>
      </rPr>
      <t xml:space="preserve">📅 2026-10-01(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25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</si>
  <si>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Vercel+Render+Supabase </t>
    </r>
    <r>
      <rPr>
        <b val="true"/>
        <i val="true"/>
        <sz val="10"/>
        <color rgb="FF1F4E78"/>
        <rFont val="Noto Sans CJK SC"/>
        <family val="2"/>
      </rPr>
      <t xml:space="preserve">스테이징</t>
    </r>
    <r>
      <rPr>
        <b val="true"/>
        <i val="true"/>
        <sz val="10"/>
        <color rgb="FF1F4E78"/>
        <rFont val="Arial"/>
        <family val="0"/>
        <charset val="1"/>
      </rPr>
      <t xml:space="preserve">=</t>
    </r>
    <r>
      <rPr>
        <b val="true"/>
        <i val="true"/>
        <sz val="10"/>
        <color rgb="FF1F4E78"/>
        <rFont val="Noto Sans CJK SC"/>
        <family val="2"/>
      </rPr>
      <t xml:space="preserve">프로덕션 서비스 생성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뼈대 프로젝트로 </t>
    </r>
    <r>
      <rPr>
        <b val="true"/>
        <i val="true"/>
        <sz val="10"/>
        <color rgb="FF1F4E78"/>
        <rFont val="Arial"/>
        <family val="0"/>
        <charset val="1"/>
      </rPr>
      <t xml:space="preserve">CORS/env </t>
    </r>
    <r>
      <rPr>
        <b val="true"/>
        <i val="true"/>
        <sz val="10"/>
        <color rgb="FF1F4E78"/>
        <rFont val="Noto Sans CJK SC"/>
        <family val="2"/>
      </rPr>
      <t xml:space="preserve">연결 테스트</t>
    </r>
    <r>
      <rPr>
        <b val="true"/>
        <i val="true"/>
        <sz val="10"/>
        <color rgb="FF1F4E78"/>
        <rFont val="Arial"/>
        <family val="0"/>
        <charset val="1"/>
      </rPr>
      <t xml:space="preserve">, 10/8</t>
    </r>
    <r>
      <rPr>
        <b val="true"/>
        <i val="true"/>
        <sz val="10"/>
        <color rgb="FF1F4E78"/>
        <rFont val="Noto Sans CJK SC"/>
        <family val="2"/>
      </rPr>
      <t xml:space="preserve">에 그대로 정식승격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</si>
  <si>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배포 환경을 미리 만들어두되 </t>
    </r>
    <r>
      <rPr>
        <i val="true"/>
        <sz val="9"/>
        <rFont val="Arial"/>
        <family val="0"/>
        <charset val="1"/>
      </rPr>
      <t xml:space="preserve">Render </t>
    </r>
    <r>
      <rPr>
        <i val="true"/>
        <sz val="9"/>
        <rFont val="Noto Sans CJK SC"/>
        <family val="2"/>
      </rPr>
      <t xml:space="preserve">무료 </t>
    </r>
    <r>
      <rPr>
        <i val="true"/>
        <sz val="9"/>
        <rFont val="Arial"/>
        <family val="0"/>
        <charset val="1"/>
      </rPr>
      <t xml:space="preserve">750</t>
    </r>
    <r>
      <rPr>
        <i val="true"/>
        <sz val="9"/>
        <rFont val="Noto Sans CJK SC"/>
        <family val="2"/>
      </rPr>
      <t xml:space="preserve">시간 한도를 낭비하면 안 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Vercel+Render+Supabase </t>
    </r>
    <r>
      <rPr>
        <i val="true"/>
        <sz val="9"/>
        <rFont val="Noto Sans CJK SC"/>
        <family val="2"/>
      </rPr>
      <t xml:space="preserve">뼈대 프로젝트 생성 ② </t>
    </r>
    <r>
      <rPr>
        <i val="true"/>
        <sz val="9"/>
        <rFont val="Arial"/>
        <family val="0"/>
        <charset val="1"/>
      </rPr>
      <t xml:space="preserve">CORS/env </t>
    </r>
    <r>
      <rPr>
        <i val="true"/>
        <sz val="9"/>
        <rFont val="Noto Sans CJK SC"/>
        <family val="2"/>
      </rPr>
      <t xml:space="preserve">연결만 먼저 테스트 ③ </t>
    </r>
    <r>
      <rPr>
        <i val="true"/>
        <sz val="9"/>
        <rFont val="Arial"/>
        <family val="0"/>
        <charset val="1"/>
      </rPr>
      <t xml:space="preserve">10/8</t>
    </r>
    <r>
      <rPr>
        <i val="true"/>
        <sz val="9"/>
        <rFont val="Noto Sans CJK SC"/>
        <family val="2"/>
      </rPr>
      <t xml:space="preserve">에 그대로 정식승격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너무 일찍 만들면 무료 시간을 낭비하고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너무 늦게 만들면 배포 직전 문제 대응할 시간이 없음</t>
    </r>
  </si>
  <si>
    <r>
      <rPr>
        <b val="true"/>
        <sz val="13"/>
        <color rgb="FFFFFFFF"/>
        <rFont val="Arial"/>
        <family val="0"/>
        <charset val="1"/>
      </rPr>
      <t xml:space="preserve">📅 2026-10-02(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26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</si>
  <si>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청소 상태머신 구현</t>
    </r>
    <r>
      <rPr>
        <b val="true"/>
        <i val="true"/>
        <sz val="10"/>
        <color rgb="FF1F4E78"/>
        <rFont val="Arial"/>
        <family val="0"/>
        <charset val="1"/>
      </rPr>
      <t xml:space="preserve">(PENDING→ASSIGNED→IN_PROGRESS→COMPLETED→VERIFIED/ISSUE)</t>
    </r>
  </si>
  <si>
    <r>
      <rPr>
        <sz val="9"/>
        <rFont val="Arial"/>
        <family val="0"/>
        <charset val="1"/>
      </rPr>
      <t xml:space="preserve">▶ PENDING→ASSIGNED→IN_PROGRESS→COMPLETED→VERIFIED/ISSUE </t>
    </r>
    <r>
      <rPr>
        <sz val="9"/>
        <rFont val="Noto Sans CJK SC"/>
        <family val="2"/>
      </rPr>
      <t xml:space="preserve">순서 준수
⚠ </t>
    </r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</si>
  <si>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Noto Sans CJK SC"/>
        <family val="2"/>
      </rPr>
      <t xml:space="preserve">▶ 모든 금액이 추정치임을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에서 명확히 구분 표시한다
⚠ 실제 결제 확정 금액으로 착각되지 않게 </t>
    </r>
    <r>
      <rPr>
        <sz val="9"/>
        <rFont val="Arial"/>
        <family val="0"/>
        <charset val="1"/>
      </rPr>
      <t xml:space="preserve">financial_status</t>
    </r>
    <r>
      <rPr>
        <sz val="9"/>
        <rFont val="Noto Sans CJK SC"/>
        <family val="2"/>
      </rPr>
      <t xml:space="preserve">를 반드시 노출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</si>
  <si>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 상태가 실제로 어디까지 진행됐는지 추적이 안 되면 다음 게스트 체크인에 지장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PENDING→ASSIGNED→IN_PROGRESS→COMPLETED→VERIFIED </t>
    </r>
    <r>
      <rPr>
        <i val="true"/>
        <sz val="9"/>
        <rFont val="Noto Sans CJK SC"/>
        <family val="2"/>
      </rPr>
      <t xml:space="preserve">상태머신 구현 ② </t>
    </r>
    <r>
      <rPr>
        <i val="true"/>
        <sz val="9"/>
        <rFont val="Arial"/>
        <family val="0"/>
        <charset val="1"/>
      </rPr>
      <t xml:space="preserve">ISSUE </t>
    </r>
    <r>
      <rPr>
        <i val="true"/>
        <sz val="9"/>
        <rFont val="Noto Sans CJK SC"/>
        <family val="2"/>
      </rPr>
      <t xml:space="preserve">상태에서 복귀경로도 확보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구분이 없으면 청소가 끝났는지 안 끝났는지 매번 직접 확인해야 함</t>
    </r>
  </si>
  <si>
    <r>
      <rPr>
        <b val="true"/>
        <sz val="13"/>
        <color rgb="FFFFFFFF"/>
        <rFont val="Arial"/>
        <family val="0"/>
        <charset val="1"/>
      </rPr>
      <t xml:space="preserve">📅 2026-10-03(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</si>
  <si>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4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체크아웃→청소생성→상태전이 전체 흐름 </t>
    </r>
    <r>
      <rPr>
        <b val="true"/>
        <i val="true"/>
        <sz val="10"/>
        <color rgb="FF1F4E78"/>
        <rFont val="Arial"/>
        <family val="0"/>
        <charset val="1"/>
      </rPr>
      <t xml:space="preserve">1</t>
    </r>
    <r>
      <rPr>
        <b val="true"/>
        <i val="true"/>
        <sz val="10"/>
        <color rgb="FF1F4E78"/>
        <rFont val="Noto Sans CJK SC"/>
        <family val="2"/>
      </rPr>
      <t xml:space="preserve">회 시뮬레이션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</si>
  <si>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4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청소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체크인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예약부터 청소까지 전체 흐름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체크아웃→청소생성→상태전이 전체 흐름을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시뮬레이션으로 재현 ② 끊기는 지점 없는지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체크아웃 후 청소가 자동 생성 안 되는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</si>
  <si>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2026-10-05(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</si>
  <si>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채널별 수수료 템플릿 설계</t>
    </r>
    <r>
      <rPr>
        <b val="true"/>
        <i val="true"/>
        <sz val="10"/>
        <color rgb="FF1F4E78"/>
        <rFont val="Arial"/>
        <family val="0"/>
        <charset val="1"/>
      </rPr>
      <t xml:space="preserve">(Airbnb 15.5%, Booking.com 15~18% </t>
    </r>
    <r>
      <rPr>
        <b val="true"/>
        <i val="true"/>
        <sz val="10"/>
        <color rgb="FF1F4E78"/>
        <rFont val="Noto Sans CJK SC"/>
        <family val="2"/>
      </rPr>
      <t xml:space="preserve">등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</si>
  <si>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</si>
  <si>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2026</t>
    </r>
    <r>
      <rPr>
        <i val="true"/>
        <sz val="9"/>
        <rFont val="Noto Sans CJK SC"/>
        <family val="2"/>
      </rPr>
      <t xml:space="preserve">년 </t>
    </r>
    <r>
      <rPr>
        <i val="true"/>
        <sz val="9"/>
        <rFont val="Arial"/>
        <family val="0"/>
        <charset val="1"/>
      </rPr>
      <t xml:space="preserve">5</t>
    </r>
    <r>
      <rPr>
        <i val="true"/>
        <sz val="9"/>
        <rFont val="Noto Sans CJK SC"/>
        <family val="2"/>
      </rPr>
      <t xml:space="preserve">월부터 에어비앤비 국내 수수료가 단일요율</t>
    </r>
    <r>
      <rPr>
        <i val="true"/>
        <sz val="9"/>
        <rFont val="Arial"/>
        <family val="0"/>
        <charset val="1"/>
      </rPr>
      <t xml:space="preserve">(15.5%)</t>
    </r>
    <r>
      <rPr>
        <i val="true"/>
        <sz val="9"/>
        <rFont val="Noto Sans CJK SC"/>
        <family val="2"/>
      </rPr>
      <t xml:space="preserve">로 바뀌어 기존 가정이 틀렸었음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채널별 수수료 템플릿 설계</t>
    </r>
    <r>
      <rPr>
        <i val="true"/>
        <sz val="9"/>
        <rFont val="Arial"/>
        <family val="0"/>
        <charset val="1"/>
      </rPr>
      <t xml:space="preserve">(Airbnb 15.5%, Booking.com 15~18%) ② </t>
    </r>
    <r>
      <rPr>
        <i val="true"/>
        <sz val="9"/>
        <rFont val="Noto Sans CJK SC"/>
        <family val="2"/>
      </rPr>
      <t xml:space="preserve">정산 로직에 정확히 반영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옛날 요율</t>
    </r>
    <r>
      <rPr>
        <i val="true"/>
        <sz val="9"/>
        <rFont val="Arial"/>
        <family val="0"/>
        <charset val="1"/>
      </rPr>
      <t xml:space="preserve">(3.3%)</t>
    </r>
    <r>
      <rPr>
        <i val="true"/>
        <sz val="9"/>
        <rFont val="Noto Sans CJK SC"/>
        <family val="2"/>
      </rPr>
      <t xml:space="preserve">을 그대로 썼다면 실제 정산 금액이 크게 어긋나는 사고</t>
    </r>
  </si>
  <si>
    <r>
      <rPr>
        <b val="true"/>
        <sz val="13"/>
        <color rgb="FFFFFFFF"/>
        <rFont val="Arial"/>
        <family val="0"/>
        <charset val="1"/>
      </rPr>
      <t xml:space="preserve">📅 2026-10-06(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</si>
  <si>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Action Center </t>
    </r>
    <r>
      <rPr>
        <b val="true"/>
        <i val="true"/>
        <sz val="10"/>
        <color rgb="FF1F4E78"/>
        <rFont val="Noto Sans CJK SC"/>
        <family val="2"/>
      </rPr>
      <t xml:space="preserve">규칙기반 트리거 구현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최종스펙 규칙표 그대로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</si>
  <si>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
⚠ 같은 이벤트가 반복돼도 알림이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</si>
  <si>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청소지연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중복예약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정산검토 등 여러 이벤트가 흩어져 있으면 호스트가 놓치기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Action Center </t>
    </r>
    <r>
      <rPr>
        <i val="true"/>
        <sz val="9"/>
        <rFont val="Noto Sans CJK SC"/>
        <family val="2"/>
      </rPr>
      <t xml:space="preserve">규칙기반 트리거 구현 ② 이벤트 발생시 자동으로 🔴🟡🟢 큐에 분류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통합 큐가 없으면 각 화면을 매번 따로 확인해야 하고 급한 건을 놓치는 사고</t>
    </r>
  </si>
  <si>
    <r>
      <rPr>
        <b val="true"/>
        <sz val="13"/>
        <color rgb="FFFFFFFF"/>
        <rFont val="Arial"/>
        <family val="0"/>
        <charset val="1"/>
      </rPr>
      <t xml:space="preserve">📅 2026-10-07(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8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</si>
  <si>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Clipchamp 10</t>
    </r>
    <r>
      <rPr>
        <b val="true"/>
        <i val="true"/>
        <sz val="10"/>
        <color rgb="FF1F4E78"/>
        <rFont val="Noto Sans CJK SC"/>
        <family val="2"/>
      </rPr>
      <t xml:space="preserve">분 더미 영상 내보내기 테스트</t>
    </r>
  </si>
  <si>
    <r>
      <rPr>
        <sz val="9"/>
        <rFont val="Noto Sans CJK SC"/>
        <family val="2"/>
      </rPr>
      <t xml:space="preserve">▶ 실제 운영 페인포인트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박이상만 받아 화</t>
    </r>
    <r>
      <rPr>
        <sz val="9"/>
        <rFont val="Arial"/>
        <family val="0"/>
        <charset val="1"/>
      </rPr>
      <t xml:space="preserve">~</t>
    </r>
    <r>
      <rPr>
        <sz val="9"/>
        <rFont val="Noto Sans CJK SC"/>
        <family val="2"/>
      </rPr>
      <t xml:space="preserve">금이 비는 문제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규칙화 — 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 양방향
⚠ 연휴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공휴일은 시스템이 임의로 계속 인상하면 안 됨 — 방치감지 후 반드시 호스트 승인 거쳐야 함</t>
    </r>
    <r>
      <rPr>
        <sz val="9"/>
        <rFont val="Arial"/>
        <family val="0"/>
        <charset val="1"/>
      </rPr>
      <t xml:space="preserve">(100% </t>
    </r>
    <r>
      <rPr>
        <sz val="9"/>
        <rFont val="Noto Sans CJK SC"/>
        <family val="2"/>
      </rPr>
      <t xml:space="preserve">자동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</si>
  <si>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법률판단이 아니라 참고용 체크리스트임을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 명시
⚠ 숙박업 유형별 정교한 법률 로직을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 초과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</si>
  <si>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5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정산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컴플라이언스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정산 파이프라인이 실제로 맞물려 돌아가는지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정산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파이프라인 재현 ② 알림센터 트리거가 실데이터로 정상 작동하는지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정산 시점에 계산이 틀어지는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</si>
  <si>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2026-10-08(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31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</si>
  <si>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전체 기능 회귀테스트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예약→청소→</t>
    </r>
    <r>
      <rPr>
        <b val="true"/>
        <i val="true"/>
        <sz val="10"/>
        <color rgb="FF1F4E78"/>
        <rFont val="Arial"/>
        <family val="0"/>
        <charset val="1"/>
      </rPr>
      <t xml:space="preserve">AI→</t>
    </r>
    <r>
      <rPr>
        <b val="true"/>
        <i val="true"/>
        <sz val="10"/>
        <color rgb="FF1F4E78"/>
        <rFont val="Noto Sans CJK SC"/>
        <family val="2"/>
      </rPr>
      <t xml:space="preserve">정산→알림 전체 플로우 </t>
    </r>
    <r>
      <rPr>
        <b val="true"/>
        <i val="true"/>
        <sz val="10"/>
        <color rgb="FF1F4E78"/>
        <rFont val="Arial"/>
        <family val="0"/>
        <charset val="1"/>
      </rPr>
      <t xml:space="preserve">1</t>
    </r>
    <r>
      <rPr>
        <b val="true"/>
        <i val="true"/>
        <sz val="10"/>
        <color rgb="FF1F4E78"/>
        <rFont val="Noto Sans CJK SC"/>
        <family val="2"/>
      </rPr>
      <t xml:space="preserve">회 통관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</si>
  <si>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t xml:space="preserve">▶ 배포 전 마지막 방어선 — 여기서 놓치면 발표 중 사고로 직결
⚠ 체크리스트 일부만 하지 말고 전체 시나리오를 빠짐없이 재현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</si>
  <si>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 만든 기능이 서로 맞물려 전체 흐름으로 돌아가는지 통째로 확인해야 할 시점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예약→청소→</t>
    </r>
    <r>
      <rPr>
        <i val="true"/>
        <sz val="9"/>
        <rFont val="Arial"/>
        <family val="0"/>
        <charset val="1"/>
      </rPr>
      <t xml:space="preserve">AI→</t>
    </r>
    <r>
      <rPr>
        <i val="true"/>
        <sz val="9"/>
        <rFont val="Noto Sans CJK SC"/>
        <family val="2"/>
      </rPr>
      <t xml:space="preserve">정산→알림 전체 플로우를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통관 테스트 ② 끊기는 지점 전수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부분별로만 테스트하면 기능 </t>
    </r>
    <r>
      <rPr>
        <i val="true"/>
        <sz val="9"/>
        <rFont val="Arial"/>
        <family val="0"/>
        <charset val="1"/>
      </rPr>
      <t xml:space="preserve">A</t>
    </r>
    <r>
      <rPr>
        <i val="true"/>
        <sz val="9"/>
        <rFont val="Noto Sans CJK SC"/>
        <family val="2"/>
      </rPr>
      <t xml:space="preserve">와 </t>
    </r>
    <r>
      <rPr>
        <i val="true"/>
        <sz val="9"/>
        <rFont val="Arial"/>
        <family val="0"/>
        <charset val="1"/>
      </rPr>
      <t xml:space="preserve">B</t>
    </r>
    <r>
      <rPr>
        <i val="true"/>
        <sz val="9"/>
        <rFont val="Noto Sans CJK SC"/>
        <family val="2"/>
      </rPr>
      <t xml:space="preserve">가 만나는 지점의 버그를 발표 직전에야 발견</t>
    </r>
  </si>
  <si>
    <r>
      <rPr>
        <b val="true"/>
        <sz val="13"/>
        <color rgb="FFFFFFFF"/>
        <rFont val="Arial"/>
        <family val="0"/>
        <charset val="1"/>
      </rPr>
      <t xml:space="preserve">📅 2026-10-09(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32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</si>
  <si>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Mock/Real </t>
    </r>
    <r>
      <rPr>
        <b val="true"/>
        <i val="true"/>
        <sz val="10"/>
        <color rgb="FF1F4E78"/>
        <rFont val="Noto Sans CJK SC"/>
        <family val="2"/>
      </rPr>
      <t xml:space="preserve">표현 최종점검 </t>
    </r>
    <r>
      <rPr>
        <b val="true"/>
        <i val="true"/>
        <sz val="10"/>
        <color rgb="FF1F4E78"/>
        <rFont val="Arial"/>
        <family val="0"/>
        <charset val="1"/>
      </rPr>
      <t xml:space="preserve">+ '</t>
    </r>
    <r>
      <rPr>
        <b val="true"/>
        <i val="true"/>
        <sz val="10"/>
        <color rgb="FF1F4E78"/>
        <rFont val="Noto Sans CJK SC"/>
        <family val="2"/>
      </rPr>
      <t xml:space="preserve">숙소운영특화 </t>
    </r>
    <r>
      <rPr>
        <b val="true"/>
        <i val="true"/>
        <sz val="10"/>
        <color rgb="FF1F4E78"/>
        <rFont val="Arial"/>
        <family val="0"/>
        <charset val="1"/>
      </rPr>
      <t xml:space="preserve">AI Agent' </t>
    </r>
    <r>
      <rPr>
        <b val="true"/>
        <i val="true"/>
        <sz val="10"/>
        <color rgb="FF1F4E78"/>
        <rFont val="Noto Sans CJK SC"/>
        <family val="2"/>
      </rPr>
      <t xml:space="preserve">표현 일관성 점검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</si>
  <si>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영상에 </t>
    </r>
    <r>
      <rPr>
        <i val="true"/>
        <sz val="9"/>
        <rFont val="Arial"/>
        <family val="0"/>
        <charset val="1"/>
      </rPr>
      <t xml:space="preserve">Mock(</t>
    </r>
    <r>
      <rPr>
        <i val="true"/>
        <sz val="9"/>
        <rFont val="Noto Sans CJK SC"/>
        <family val="2"/>
      </rPr>
      <t xml:space="preserve">시뮬레이션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</t>
    </r>
    <r>
      <rPr>
        <i val="true"/>
        <sz val="9"/>
        <rFont val="Arial"/>
        <family val="0"/>
        <charset val="1"/>
      </rPr>
      <t xml:space="preserve">Real(</t>
    </r>
    <r>
      <rPr>
        <i val="true"/>
        <sz val="9"/>
        <rFont val="Noto Sans CJK SC"/>
        <family val="2"/>
      </rPr>
      <t xml:space="preserve">실제구현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이 섞여있는데 이를 명확히 구분 안 하면 과장처럼 보일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스마트락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가격반영</t>
    </r>
    <r>
      <rPr>
        <i val="true"/>
        <sz val="9"/>
        <rFont val="Arial"/>
        <family val="0"/>
        <charset val="1"/>
      </rPr>
      <t xml:space="preserve">·OTA</t>
    </r>
    <r>
      <rPr>
        <i val="true"/>
        <sz val="9"/>
        <rFont val="Noto Sans CJK SC"/>
        <family val="2"/>
      </rPr>
      <t xml:space="preserve">메시징 등 </t>
    </r>
    <r>
      <rPr>
        <i val="true"/>
        <sz val="9"/>
        <rFont val="Arial"/>
        <family val="0"/>
        <charset val="1"/>
      </rPr>
      <t xml:space="preserve">Mock </t>
    </r>
    <r>
      <rPr>
        <i val="true"/>
        <sz val="9"/>
        <rFont val="Noto Sans CJK SC"/>
        <family val="2"/>
      </rPr>
      <t xml:space="preserve">표시 전수 확인 ②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숙소운영특화 </t>
    </r>
    <r>
      <rPr>
        <i val="true"/>
        <sz val="9"/>
        <rFont val="Arial"/>
        <family val="0"/>
        <charset val="1"/>
      </rPr>
      <t xml:space="preserve">AI Agent'</t>
    </r>
    <r>
      <rPr>
        <i val="true"/>
        <sz val="9"/>
        <rFont val="Noto Sans CJK SC"/>
        <family val="2"/>
      </rPr>
      <t xml:space="preserve">라는 표현 일관성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Mock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Real</t>
    </r>
    <r>
      <rPr>
        <i val="true"/>
        <sz val="9"/>
        <rFont val="Noto Sans CJK SC"/>
        <family val="2"/>
      </rPr>
      <t xml:space="preserve">처럼 보이게 두면 발표 중 질문에서 신뢰도가 크게 깎이는 위험</t>
    </r>
  </si>
  <si>
    <r>
      <rPr>
        <b val="true"/>
        <sz val="13"/>
        <color rgb="FFFFFFFF"/>
        <rFont val="Arial"/>
        <family val="0"/>
        <charset val="1"/>
      </rPr>
      <t xml:space="preserve">📅 2026-10-10(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33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</si>
  <si>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아침 검토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전날 녹화분 확인</t>
    </r>
    <r>
      <rPr>
        <b val="true"/>
        <i val="true"/>
        <sz val="10"/>
        <color rgb="FF1F4E78"/>
        <rFont val="Arial"/>
        <family val="0"/>
        <charset val="1"/>
      </rPr>
      <t xml:space="preserve">, </t>
    </r>
    <r>
      <rPr>
        <b val="true"/>
        <i val="true"/>
        <sz val="10"/>
        <color rgb="FF1F4E78"/>
        <rFont val="Noto Sans CJK SC"/>
        <family val="2"/>
      </rPr>
      <t xml:space="preserve">재촬영 필요분 파악</t>
    </r>
  </si>
  <si>
    <r>
      <rPr>
        <sz val="9"/>
        <rFont val="Noto Sans CJK SC"/>
        <family val="2"/>
      </rPr>
      <t xml:space="preserve">▶ 녹화 시점의 코드를 버전 태그로 고정해서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보여준 화면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제출 코드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일치를 보장
⚠ 녹화 후에 코드를 더 고치고 싶은 충동을 참을 것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버전 불일치 위험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</si>
  <si>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어젯밤</t>
    </r>
    <r>
      <rPr>
        <i val="true"/>
        <sz val="9"/>
        <rFont val="Arial"/>
        <family val="0"/>
        <charset val="1"/>
      </rPr>
      <t xml:space="preserve">(10/9) </t>
    </r>
    <r>
      <rPr>
        <i val="true"/>
        <sz val="9"/>
        <rFont val="Noto Sans CJK SC"/>
        <family val="2"/>
      </rPr>
      <t xml:space="preserve">녹화한 영상 중 일부는 재촬영이 필요할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아침에 전날 녹화분부터 다시 확인 ② 재촬영 필요분만 골라서 다시 찍기 ③ 이후 편집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최종 제출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확인 없이 바로 편집 들어가면 편집 다 끝난 뒤에야 빠진 장면을 발견하는 최악의 상황</t>
    </r>
  </si>
  <si>
    <r>
      <rPr>
        <b val="true"/>
        <sz val="13"/>
        <color rgb="FFFFFFFF"/>
        <rFont val="Arial"/>
        <family val="0"/>
        <charset val="1"/>
      </rPr>
      <t xml:space="preserve">📅 2026-10-11(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34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</si>
  <si>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데모 데이터 시드 재실행</t>
    </r>
    <r>
      <rPr>
        <b val="true"/>
        <i val="true"/>
        <sz val="10"/>
        <color rgb="FF1F4E78"/>
        <rFont val="Arial"/>
        <family val="0"/>
        <charset val="1"/>
      </rPr>
      <t xml:space="preserve">(DB </t>
    </r>
    <r>
      <rPr>
        <b val="true"/>
        <i val="true"/>
        <sz val="10"/>
        <color rgb="FF1F4E78"/>
        <rFont val="Noto Sans CJK SC"/>
        <family val="2"/>
      </rPr>
      <t xml:space="preserve">초기화</t>
    </r>
    <r>
      <rPr>
        <b val="true"/>
        <i val="true"/>
        <sz val="10"/>
        <color rgb="FF1F4E78"/>
        <rFont val="Arial"/>
        <family val="0"/>
        <charset val="1"/>
      </rPr>
      <t xml:space="preserve">+</t>
    </r>
    <r>
      <rPr>
        <b val="true"/>
        <i val="true"/>
        <sz val="10"/>
        <color rgb="FF1F4E78"/>
        <rFont val="Noto Sans CJK SC"/>
        <family val="2"/>
      </rPr>
      <t xml:space="preserve">골든패스 데이터 재세팅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</si>
  <si>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발표 당일 사고 예방이 유일한 목적
⚠ 시연 직전 반드시 실제 환경에서 리허설한다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테스트만으로 안심 금지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</si>
  <si>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전날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실제 발표에 쓸 데이터가 지금까지 테스트하며 어질러진 상태일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 </t>
    </r>
    <r>
      <rPr>
        <i val="true"/>
        <sz val="9"/>
        <rFont val="Noto Sans CJK SC"/>
        <family val="2"/>
      </rPr>
      <t xml:space="preserve">초기화 후 골든패스 데이터로 재세팅 ② 로그인→예약→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응대→정산까지 리허설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실행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어질러진 데이터로 발표하면 화면에 이상한 값이 노출되거나 시나리오가 꼬이는 사고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</si>
</sst>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yyyy\-mm\-dd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Noto Sans CJK SC"/>
      <family val="2"/>
    </font>
    <font>
      <b val="true"/>
      <sz val="16"/>
      <color rgb="FF1F4E78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2"/>
      <color rgb="FF1F4E78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Noto Sans CJK SC"/>
      <family val="2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i val="true"/>
      <sz val="9"/>
      <color rgb="FFC00000"/>
      <name val="Noto Sans CJK SC"/>
      <family val="2"/>
    </font>
    <font>
      <i val="true"/>
      <sz val="9"/>
      <color rgb="FFC00000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  <font>
      <i val="true"/>
      <sz val="10"/>
      <color rgb="FF674EA7"/>
      <name val="Noto Sans CJK SC"/>
      <family val="2"/>
    </font>
    <font>
      <i val="true"/>
      <sz val="10"/>
      <color rgb="FF674EA7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4"/>
      <color rgb="FF1F4E78"/>
      <name val="Noto Sans CJK SC"/>
      <family val="2"/>
    </font>
    <font>
      <sz val="9"/>
      <name val="Noto Sans CJK SC"/>
      <family val="2"/>
    </font>
    <font>
      <i val="true"/>
      <sz val="9"/>
      <color rgb="FF674EA7"/>
      <name val="Arial"/>
      <family val="0"/>
      <charset val="1"/>
    </font>
    <font>
      <i val="true"/>
      <sz val="9"/>
      <color rgb="FF674EA7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C00000"/>
      <name val="Noto Sans CJK SC"/>
      <family val="2"/>
    </font>
    <font>
      <b val="true"/>
      <sz val="9"/>
      <color rgb="FFC00000"/>
      <name val="Arial"/>
      <family val="0"/>
      <charset val="1"/>
    </font>
    <font>
      <b val="true"/>
      <sz val="9"/>
      <name val="Noto Sans CJK SC"/>
      <family val="2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b val="true"/>
      <i val="true"/>
      <sz val="10"/>
      <color rgb="FF1F4E78"/>
      <name val="Noto Sans CJK SC"/>
      <family val="2"/>
    </font>
    <font>
      <b val="true"/>
      <i val="true"/>
      <sz val="10"/>
      <color rgb="FF1F4E78"/>
      <name val="Arial"/>
      <family val="0"/>
      <charset val="1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9" fillId="1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1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2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5"/>
    <col collapsed="false" customWidth="true" hidden="false" outlineLevel="0" max="3" min="3" style="0" width="45"/>
  </cols>
  <sheetData>
    <row r="1" customFormat="false" ht="23.85" hidden="false" customHeight="false" outlineLevel="0" collapsed="false">
      <c r="A1" s="1" t="s">
        <v>0</v>
      </c>
      <c r="B1" s="1"/>
      <c r="C1" s="1"/>
    </row>
    <row r="3" customFormat="false" ht="17.15" hidden="false" customHeight="false" outlineLevel="0" collapsed="false">
      <c r="A3" s="2" t="s">
        <v>1</v>
      </c>
      <c r="B3" s="2" t="s">
        <v>2</v>
      </c>
      <c r="C3" s="2" t="s">
        <v>3</v>
      </c>
    </row>
    <row r="4" customFormat="false" ht="37.5" hidden="false" customHeight="true" outlineLevel="0" collapsed="false">
      <c r="A4" s="3" t="s">
        <v>4</v>
      </c>
      <c r="B4" s="4" t="s">
        <v>5</v>
      </c>
      <c r="C4" s="3" t="s">
        <v>6</v>
      </c>
    </row>
    <row r="5" customFormat="false" ht="37.5" hidden="false" customHeight="true" outlineLevel="0" collapsed="false">
      <c r="A5" s="3" t="s">
        <v>7</v>
      </c>
      <c r="B5" s="4" t="s">
        <v>8</v>
      </c>
      <c r="C5" s="3" t="s">
        <v>9</v>
      </c>
    </row>
    <row r="6" customFormat="false" ht="37.5" hidden="false" customHeight="true" outlineLevel="0" collapsed="false">
      <c r="A6" s="3" t="s">
        <v>10</v>
      </c>
      <c r="B6" s="4" t="s">
        <v>11</v>
      </c>
      <c r="C6" s="3"/>
    </row>
    <row r="7" customFormat="false" ht="37.5" hidden="false" customHeight="true" outlineLevel="0" collapsed="false">
      <c r="A7" s="3" t="s">
        <v>12</v>
      </c>
      <c r="B7" s="4" t="s">
        <v>13</v>
      </c>
      <c r="C7" s="3"/>
    </row>
    <row r="8" customFormat="false" ht="37.5" hidden="false" customHeight="true" outlineLevel="0" collapsed="false">
      <c r="A8" s="3" t="s">
        <v>14</v>
      </c>
      <c r="B8" s="4" t="s">
        <v>15</v>
      </c>
      <c r="C8" s="3"/>
    </row>
    <row r="9" customFormat="false" ht="37.5" hidden="false" customHeight="true" outlineLevel="0" collapsed="false">
      <c r="A9" s="3" t="s">
        <v>16</v>
      </c>
      <c r="B9" s="4" t="s">
        <v>17</v>
      </c>
      <c r="C9" s="3"/>
    </row>
    <row r="10" customFormat="false" ht="37.5" hidden="false" customHeight="true" outlineLevel="0" collapsed="false">
      <c r="A10" s="3" t="s">
        <v>18</v>
      </c>
      <c r="B10" s="3" t="s">
        <v>19</v>
      </c>
      <c r="C10" s="3"/>
    </row>
    <row r="11" customFormat="false" ht="37.5" hidden="false" customHeight="true" outlineLevel="0" collapsed="false">
      <c r="A11" s="4" t="s">
        <v>20</v>
      </c>
      <c r="B11" s="4" t="s">
        <v>21</v>
      </c>
      <c r="C11" s="3"/>
    </row>
    <row r="12" customFormat="false" ht="37.5" hidden="false" customHeight="true" outlineLevel="0" collapsed="false">
      <c r="A12" s="4" t="s">
        <v>22</v>
      </c>
      <c r="B12" s="4" t="s">
        <v>23</v>
      </c>
      <c r="C12" s="3" t="s">
        <v>24</v>
      </c>
    </row>
    <row r="13" customFormat="false" ht="37.5" hidden="false" customHeight="true" outlineLevel="0" collapsed="false">
      <c r="A13" s="4" t="s">
        <v>25</v>
      </c>
      <c r="B13" s="3" t="s">
        <v>26</v>
      </c>
      <c r="C13" s="4" t="s">
        <v>27</v>
      </c>
    </row>
    <row r="14" customFormat="false" ht="37.5" hidden="false" customHeight="true" outlineLevel="0" collapsed="false">
      <c r="A14" s="3" t="s">
        <v>28</v>
      </c>
      <c r="B14" s="4" t="s">
        <v>29</v>
      </c>
      <c r="C14" s="3" t="s">
        <v>30</v>
      </c>
    </row>
    <row r="15" customFormat="false" ht="37.5" hidden="false" customHeight="true" outlineLevel="0" collapsed="false">
      <c r="A15" s="4" t="s">
        <v>31</v>
      </c>
      <c r="B15" s="4" t="s">
        <v>32</v>
      </c>
      <c r="C15" s="3" t="s">
        <v>33</v>
      </c>
    </row>
    <row r="16" customFormat="false" ht="37.5" hidden="false" customHeight="true" outlineLevel="0" collapsed="false">
      <c r="A16" s="3" t="s">
        <v>34</v>
      </c>
      <c r="B16" s="3" t="s">
        <v>35</v>
      </c>
      <c r="C16" s="3"/>
    </row>
    <row r="17" customFormat="false" ht="37.5" hidden="false" customHeight="true" outlineLevel="0" collapsed="false">
      <c r="A17" s="3" t="s">
        <v>36</v>
      </c>
      <c r="B17" s="4" t="s">
        <v>37</v>
      </c>
      <c r="C17" s="4" t="s">
        <v>38</v>
      </c>
    </row>
    <row r="18" customFormat="false" ht="37.5" hidden="false" customHeight="true" outlineLevel="0" collapsed="false">
      <c r="A18" s="3" t="s">
        <v>39</v>
      </c>
      <c r="B18" s="3" t="s">
        <v>40</v>
      </c>
      <c r="C18" s="3" t="s">
        <v>41</v>
      </c>
    </row>
    <row r="19" customFormat="false" ht="37.5" hidden="false" customHeight="true" outlineLevel="0" collapsed="false">
      <c r="A19" s="3" t="s">
        <v>42</v>
      </c>
      <c r="B19" s="4" t="s">
        <v>43</v>
      </c>
      <c r="C19" s="4" t="s">
        <v>44</v>
      </c>
    </row>
    <row r="20" customFormat="false" ht="37.5" hidden="false" customHeight="true" outlineLevel="0" collapsed="false">
      <c r="A20" s="3" t="s">
        <v>45</v>
      </c>
      <c r="B20" s="3" t="s">
        <v>46</v>
      </c>
      <c r="C20" s="3" t="s">
        <v>47</v>
      </c>
    </row>
    <row r="21" customFormat="false" ht="37.5" hidden="false" customHeight="true" outlineLevel="0" collapsed="false">
      <c r="A21" s="3" t="s">
        <v>48</v>
      </c>
      <c r="B21" s="3" t="s">
        <v>49</v>
      </c>
      <c r="C21" s="3" t="s">
        <v>50</v>
      </c>
    </row>
    <row r="22" customFormat="false" ht="37.5" hidden="false" customHeight="true" outlineLevel="0" collapsed="false">
      <c r="A22" s="3" t="s">
        <v>51</v>
      </c>
      <c r="B22" s="3" t="s">
        <v>52</v>
      </c>
      <c r="C22" s="3" t="s">
        <v>53</v>
      </c>
    </row>
    <row r="23" customFormat="false" ht="37.5" hidden="false" customHeight="true" outlineLevel="0" collapsed="false">
      <c r="A23" s="3" t="s">
        <v>54</v>
      </c>
      <c r="B23" s="3" t="s">
        <v>55</v>
      </c>
      <c r="C23" s="3" t="s">
        <v>56</v>
      </c>
    </row>
    <row r="24" customFormat="false" ht="37.5" hidden="false" customHeight="true" outlineLevel="0" collapsed="false">
      <c r="A24" s="3" t="s">
        <v>57</v>
      </c>
      <c r="B24" s="4" t="s">
        <v>58</v>
      </c>
      <c r="C24" s="3" t="s">
        <v>59</v>
      </c>
    </row>
    <row r="25" customFormat="false" ht="37.5" hidden="false" customHeight="true" outlineLevel="0" collapsed="false">
      <c r="A25" s="3" t="s">
        <v>60</v>
      </c>
      <c r="B25" s="4" t="s">
        <v>61</v>
      </c>
      <c r="C25" s="4" t="s">
        <v>62</v>
      </c>
    </row>
    <row r="26" customFormat="false" ht="37.5" hidden="false" customHeight="true" outlineLevel="0" collapsed="false">
      <c r="A26" s="3" t="s">
        <v>63</v>
      </c>
      <c r="B26" s="4" t="s">
        <v>64</v>
      </c>
      <c r="C26" s="4" t="s">
        <v>65</v>
      </c>
    </row>
    <row r="27" customFormat="false" ht="37.5" hidden="false" customHeight="true" outlineLevel="0" collapsed="false">
      <c r="A27" s="3" t="s">
        <v>66</v>
      </c>
      <c r="B27" s="4" t="s">
        <v>67</v>
      </c>
      <c r="C27" s="4" t="s">
        <v>68</v>
      </c>
    </row>
    <row r="28" customFormat="false" ht="37.5" hidden="false" customHeight="true" outlineLevel="0" collapsed="false">
      <c r="A28" s="4" t="s">
        <v>69</v>
      </c>
      <c r="B28" s="4" t="s">
        <v>70</v>
      </c>
      <c r="C28" s="4" t="s">
        <v>71</v>
      </c>
    </row>
    <row r="29" customFormat="false" ht="37.5" hidden="false" customHeight="true" outlineLevel="0" collapsed="false">
      <c r="A29" s="3" t="s">
        <v>72</v>
      </c>
      <c r="B29" s="4" t="s">
        <v>73</v>
      </c>
      <c r="C29" s="4" t="s">
        <v>74</v>
      </c>
    </row>
    <row r="30" customFormat="false" ht="37.5" hidden="false" customHeight="true" outlineLevel="0" collapsed="false">
      <c r="A30" s="3" t="s">
        <v>75</v>
      </c>
      <c r="B30" s="3" t="s">
        <v>76</v>
      </c>
      <c r="C30" s="3" t="s">
        <v>77</v>
      </c>
    </row>
    <row r="32" customFormat="false" ht="19.4" hidden="false" customHeight="false" outlineLevel="0" collapsed="false">
      <c r="A32" s="5" t="s">
        <v>78</v>
      </c>
    </row>
    <row r="33" customFormat="false" ht="17.15" hidden="false" customHeight="false" outlineLevel="0" collapsed="false">
      <c r="A33" s="2" t="s">
        <v>79</v>
      </c>
      <c r="B33" s="2" t="s">
        <v>80</v>
      </c>
      <c r="C33" s="2" t="s">
        <v>81</v>
      </c>
    </row>
    <row r="34" customFormat="false" ht="45" hidden="false" customHeight="true" outlineLevel="0" collapsed="false">
      <c r="A34" s="3" t="s">
        <v>82</v>
      </c>
      <c r="B34" s="4" t="s">
        <v>83</v>
      </c>
      <c r="C34" s="3" t="s">
        <v>84</v>
      </c>
    </row>
    <row r="35" customFormat="false" ht="45" hidden="false" customHeight="true" outlineLevel="0" collapsed="false">
      <c r="A35" s="3" t="s">
        <v>85</v>
      </c>
      <c r="B35" s="4" t="s">
        <v>86</v>
      </c>
      <c r="C35" s="3" t="s">
        <v>87</v>
      </c>
    </row>
    <row r="36" customFormat="false" ht="45" hidden="false" customHeight="true" outlineLevel="0" collapsed="false">
      <c r="A36" s="3" t="s">
        <v>88</v>
      </c>
      <c r="B36" s="3" t="s">
        <v>89</v>
      </c>
      <c r="C36" s="3" t="s">
        <v>90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5" min="3" style="0" width="8"/>
    <col collapsed="false" customWidth="true" hidden="false" outlineLevel="0" max="6" min="6" style="0" width="10"/>
  </cols>
  <sheetData>
    <row r="1" customFormat="false" ht="23.85" hidden="false" customHeight="false" outlineLevel="0" collapsed="false">
      <c r="A1" s="6" t="s">
        <v>91</v>
      </c>
      <c r="B1" s="6"/>
      <c r="C1" s="6"/>
      <c r="D1" s="6"/>
      <c r="E1" s="6"/>
      <c r="F1" s="6"/>
    </row>
    <row r="3" customFormat="false" ht="17.15" hidden="false" customHeight="false" outlineLevel="0" collapsed="false">
      <c r="A3" s="2" t="s">
        <v>92</v>
      </c>
      <c r="B3" s="2" t="s">
        <v>93</v>
      </c>
      <c r="C3" s="2" t="s">
        <v>94</v>
      </c>
      <c r="D3" s="2" t="s">
        <v>95</v>
      </c>
      <c r="E3" s="2" t="s">
        <v>96</v>
      </c>
      <c r="F3" s="2" t="s">
        <v>97</v>
      </c>
    </row>
    <row r="4" customFormat="false" ht="17.15" hidden="false" customHeight="false" outlineLevel="0" collapsed="false">
      <c r="A4" s="7" t="s">
        <v>98</v>
      </c>
      <c r="B4" s="8" t="s">
        <v>99</v>
      </c>
      <c r="C4" s="9" t="n">
        <f aca="false">COUNTIF(체크리스트!$B$4:$B$400,A4)</f>
        <v>29</v>
      </c>
      <c r="D4" s="9" t="n">
        <f aca="false">COUNTIFS(체크리스트!$B$4:$B$400,A4,체크리스트!$E$4:$E$400,"완료")</f>
        <v>29</v>
      </c>
      <c r="E4" s="9" t="n">
        <f aca="false">COUNTIFS(체크리스트!$B$4:$B$400,A4,체크리스트!$E$4:$E$400,"진행중")</f>
        <v>0</v>
      </c>
      <c r="F4" s="10" t="n">
        <f aca="false">IFERROR(D4/C4,0)</f>
        <v>1</v>
      </c>
    </row>
    <row r="5" customFormat="false" ht="17.15" hidden="false" customHeight="false" outlineLevel="0" collapsed="false">
      <c r="A5" s="11" t="s">
        <v>100</v>
      </c>
      <c r="B5" s="8" t="s">
        <v>101</v>
      </c>
      <c r="C5" s="9" t="n">
        <f aca="false">COUNTIF(체크리스트!$B$4:$B$400,A5)</f>
        <v>6</v>
      </c>
      <c r="D5" s="9" t="n">
        <f aca="false">COUNTIFS(체크리스트!$B$4:$B$400,A5,체크리스트!$E$4:$E$400,"완료")</f>
        <v>0</v>
      </c>
      <c r="E5" s="9" t="n">
        <f aca="false">COUNTIFS(체크리스트!$B$4:$B$400,A5,체크리스트!$E$4:$E$400,"진행중")</f>
        <v>0</v>
      </c>
      <c r="F5" s="10" t="n">
        <f aca="false">IFERROR(D5/C5,0)</f>
        <v>0</v>
      </c>
    </row>
    <row r="6" customFormat="false" ht="15" hidden="false" customHeight="false" outlineLevel="0" collapsed="false">
      <c r="A6" s="7" t="s">
        <v>102</v>
      </c>
      <c r="B6" s="8" t="s">
        <v>103</v>
      </c>
      <c r="C6" s="9" t="n">
        <f aca="false">COUNTIF(체크리스트!$B$4:$B$400,A6)</f>
        <v>16</v>
      </c>
      <c r="D6" s="9" t="n">
        <f aca="false">COUNTIFS(체크리스트!$B$4:$B$400,A6,체크리스트!$E$4:$E$400,"완료")</f>
        <v>4</v>
      </c>
      <c r="E6" s="9" t="n">
        <f aca="false">COUNTIFS(체크리스트!$B$4:$B$400,A6,체크리스트!$E$4:$E$400,"진행중")</f>
        <v>0</v>
      </c>
      <c r="F6" s="10" t="n">
        <f aca="false">IFERROR(D6/C6,0)</f>
        <v>0.25</v>
      </c>
    </row>
    <row r="7" customFormat="false" ht="15" hidden="false" customHeight="false" outlineLevel="0" collapsed="false">
      <c r="A7" s="7" t="s">
        <v>104</v>
      </c>
      <c r="B7" s="8" t="s">
        <v>105</v>
      </c>
      <c r="C7" s="9" t="n">
        <f aca="false">COUNTIF(체크리스트!$B$4:$B$400,A7)</f>
        <v>15</v>
      </c>
      <c r="D7" s="9" t="n">
        <f aca="false">COUNTIFS(체크리스트!$B$4:$B$400,A7,체크리스트!$E$4:$E$400,"완료")</f>
        <v>0</v>
      </c>
      <c r="E7" s="9" t="n">
        <f aca="false">COUNTIFS(체크리스트!$B$4:$B$400,A7,체크리스트!$E$4:$E$400,"진행중")</f>
        <v>0</v>
      </c>
      <c r="F7" s="10" t="n">
        <f aca="false">IFERROR(D7/C7,0)</f>
        <v>0</v>
      </c>
    </row>
    <row r="8" customFormat="false" ht="15" hidden="false" customHeight="false" outlineLevel="0" collapsed="false">
      <c r="A8" s="7" t="s">
        <v>106</v>
      </c>
      <c r="B8" s="8" t="s">
        <v>107</v>
      </c>
      <c r="C8" s="9" t="n">
        <f aca="false">COUNTIF(체크리스트!$B$4:$B$400,A8)</f>
        <v>3</v>
      </c>
      <c r="D8" s="9" t="n">
        <f aca="false">COUNTIFS(체크리스트!$B$4:$B$400,A8,체크리스트!$E$4:$E$400,"완료")</f>
        <v>0</v>
      </c>
      <c r="E8" s="9" t="n">
        <f aca="false">COUNTIFS(체크리스트!$B$4:$B$400,A8,체크리스트!$E$4:$E$400,"진행중")</f>
        <v>0</v>
      </c>
      <c r="F8" s="10" t="n">
        <f aca="false">IFERROR(D8/C8,0)</f>
        <v>0</v>
      </c>
    </row>
    <row r="9" customFormat="false" ht="17.15" hidden="false" customHeight="false" outlineLevel="0" collapsed="false">
      <c r="A9" s="7" t="s">
        <v>108</v>
      </c>
      <c r="B9" s="8" t="s">
        <v>109</v>
      </c>
      <c r="C9" s="9" t="n">
        <f aca="false">COUNTIF(체크리스트!$B$4:$B$400,A9)</f>
        <v>8</v>
      </c>
      <c r="D9" s="9" t="n">
        <f aca="false">COUNTIFS(체크리스트!$B$4:$B$400,A9,체크리스트!$E$4:$E$400,"완료")</f>
        <v>0</v>
      </c>
      <c r="E9" s="9" t="n">
        <f aca="false">COUNTIFS(체크리스트!$B$4:$B$400,A9,체크리스트!$E$4:$E$400,"진행중")</f>
        <v>0</v>
      </c>
      <c r="F9" s="10" t="n">
        <f aca="false">IFERROR(D9/C9,0)</f>
        <v>0</v>
      </c>
    </row>
    <row r="10" customFormat="false" ht="15" hidden="false" customHeight="false" outlineLevel="0" collapsed="false">
      <c r="A10" s="7" t="s">
        <v>110</v>
      </c>
      <c r="B10" s="8" t="s">
        <v>111</v>
      </c>
      <c r="C10" s="9" t="n">
        <f aca="false">COUNTIF(체크리스트!$B$4:$B$400,A10)</f>
        <v>10</v>
      </c>
      <c r="D10" s="9" t="n">
        <f aca="false">COUNTIFS(체크리스트!$B$4:$B$400,A10,체크리스트!$E$4:$E$400,"완료")</f>
        <v>0</v>
      </c>
      <c r="E10" s="9" t="n">
        <f aca="false">COUNTIFS(체크리스트!$B$4:$B$400,A10,체크리스트!$E$4:$E$400,"진행중")</f>
        <v>0</v>
      </c>
      <c r="F10" s="10" t="n">
        <f aca="false">IFERROR(D10/C10,0)</f>
        <v>0</v>
      </c>
    </row>
    <row r="11" customFormat="false" ht="15" hidden="false" customHeight="false" outlineLevel="0" collapsed="false">
      <c r="A11" s="7" t="s">
        <v>112</v>
      </c>
      <c r="B11" s="8" t="s">
        <v>113</v>
      </c>
      <c r="C11" s="9" t="n">
        <f aca="false">COUNTIF(체크리스트!$B$4:$B$400,A11)</f>
        <v>5</v>
      </c>
      <c r="D11" s="9" t="n">
        <f aca="false">COUNTIFS(체크리스트!$B$4:$B$400,A11,체크리스트!$E$4:$E$400,"완료")</f>
        <v>0</v>
      </c>
      <c r="E11" s="9" t="n">
        <f aca="false">COUNTIFS(체크리스트!$B$4:$B$400,A11,체크리스트!$E$4:$E$400,"진행중")</f>
        <v>0</v>
      </c>
      <c r="F11" s="10" t="n">
        <f aca="false">IFERROR(D11/C11,0)</f>
        <v>0</v>
      </c>
    </row>
    <row r="12" customFormat="false" ht="17.15" hidden="false" customHeight="false" outlineLevel="0" collapsed="false">
      <c r="A12" s="7" t="s">
        <v>114</v>
      </c>
      <c r="B12" s="8" t="s">
        <v>115</v>
      </c>
      <c r="C12" s="9" t="n">
        <f aca="false">COUNTIF(체크리스트!$B$4:$B$400,A12)</f>
        <v>3</v>
      </c>
      <c r="D12" s="9" t="n">
        <f aca="false">COUNTIFS(체크리스트!$B$4:$B$400,A12,체크리스트!$E$4:$E$400,"완료")</f>
        <v>0</v>
      </c>
      <c r="E12" s="9" t="n">
        <f aca="false">COUNTIFS(체크리스트!$B$4:$B$400,A12,체크리스트!$E$4:$E$400,"진행중")</f>
        <v>0</v>
      </c>
      <c r="F12" s="10" t="n">
        <f aca="false">IFERROR(D12/C12,0)</f>
        <v>0</v>
      </c>
    </row>
    <row r="13" customFormat="false" ht="15" hidden="false" customHeight="false" outlineLevel="0" collapsed="false">
      <c r="A13" s="7" t="s">
        <v>116</v>
      </c>
      <c r="B13" s="8" t="s">
        <v>117</v>
      </c>
      <c r="C13" s="9" t="n">
        <f aca="false">COUNTIF(체크리스트!$B$4:$B$400,A13)</f>
        <v>5</v>
      </c>
      <c r="D13" s="9" t="n">
        <f aca="false">COUNTIFS(체크리스트!$B$4:$B$400,A13,체크리스트!$E$4:$E$400,"완료")</f>
        <v>0</v>
      </c>
      <c r="E13" s="9" t="n">
        <f aca="false">COUNTIFS(체크리스트!$B$4:$B$400,A13,체크리스트!$E$4:$E$400,"진행중")</f>
        <v>0</v>
      </c>
      <c r="F13" s="10" t="n">
        <f aca="false">IFERROR(D13/C13,0)</f>
        <v>0</v>
      </c>
    </row>
    <row r="14" customFormat="false" ht="17.15" hidden="false" customHeight="false" outlineLevel="0" collapsed="false">
      <c r="A14" s="7" t="s">
        <v>118</v>
      </c>
      <c r="B14" s="8" t="s">
        <v>119</v>
      </c>
      <c r="C14" s="9" t="n">
        <f aca="false">COUNTIF(체크리스트!$B$4:$B$400,A14)</f>
        <v>6</v>
      </c>
      <c r="D14" s="9" t="n">
        <f aca="false">COUNTIFS(체크리스트!$B$4:$B$400,A14,체크리스트!$E$4:$E$400,"완료")</f>
        <v>0</v>
      </c>
      <c r="E14" s="9" t="n">
        <f aca="false">COUNTIFS(체크리스트!$B$4:$B$400,A14,체크리스트!$E$4:$E$400,"진행중")</f>
        <v>0</v>
      </c>
      <c r="F14" s="10" t="n">
        <f aca="false">IFERROR(D14/C14,0)</f>
        <v>0</v>
      </c>
    </row>
    <row r="15" customFormat="false" ht="15" hidden="false" customHeight="false" outlineLevel="0" collapsed="false">
      <c r="A15" s="7" t="s">
        <v>120</v>
      </c>
      <c r="B15" s="8" t="s">
        <v>121</v>
      </c>
      <c r="C15" s="9" t="n">
        <f aca="false">COUNTIF(체크리스트!$B$4:$B$400,A15)</f>
        <v>15</v>
      </c>
      <c r="D15" s="9" t="n">
        <f aca="false">COUNTIFS(체크리스트!$B$4:$B$400,A15,체크리스트!$E$4:$E$400,"완료")</f>
        <v>1</v>
      </c>
      <c r="E15" s="9" t="n">
        <f aca="false">COUNTIFS(체크리스트!$B$4:$B$400,A15,체크리스트!$E$4:$E$400,"진행중")</f>
        <v>0</v>
      </c>
      <c r="F15" s="10" t="n">
        <f aca="false">IFERROR(D15/C15,0)</f>
        <v>0.0666666666666667</v>
      </c>
    </row>
    <row r="16" customFormat="false" ht="15" hidden="false" customHeight="false" outlineLevel="0" collapsed="false">
      <c r="A16" s="7" t="s">
        <v>122</v>
      </c>
      <c r="B16" s="8" t="s">
        <v>123</v>
      </c>
      <c r="C16" s="9" t="n">
        <f aca="false">COUNTIF(체크리스트!$B$4:$B$400,A16)</f>
        <v>4</v>
      </c>
      <c r="D16" s="9" t="n">
        <f aca="false">COUNTIFS(체크리스트!$B$4:$B$400,A16,체크리스트!$E$4:$E$400,"완료")</f>
        <v>0</v>
      </c>
      <c r="E16" s="9" t="n">
        <f aca="false">COUNTIFS(체크리스트!$B$4:$B$400,A16,체크리스트!$E$4:$E$400,"진행중")</f>
        <v>0</v>
      </c>
      <c r="F16" s="10" t="n">
        <f aca="false">IFERROR(D16/C16,0)</f>
        <v>0</v>
      </c>
    </row>
    <row r="18" customFormat="false" ht="15" hidden="false" customHeight="false" outlineLevel="0" collapsed="false">
      <c r="A18" s="12" t="s">
        <v>124</v>
      </c>
      <c r="B18" s="13" t="s">
        <v>125</v>
      </c>
      <c r="C18" s="12" t="n">
        <f aca="false">SUM(C4:C16)</f>
        <v>125</v>
      </c>
      <c r="D18" s="12" t="n">
        <f aca="false">SUM(D4:D16)</f>
        <v>34</v>
      </c>
      <c r="E18" s="12" t="n">
        <f aca="false">SUM(E4:E16)</f>
        <v>0</v>
      </c>
      <c r="F18" s="14" t="n">
        <f aca="false">IFERROR(D18/C18,0)</f>
        <v>0.272</v>
      </c>
    </row>
    <row r="20" customFormat="false" ht="17.15" hidden="false" customHeight="false" outlineLevel="0" collapsed="false">
      <c r="A20" s="15" t="s">
        <v>126</v>
      </c>
      <c r="B20" s="16" t="s">
        <v>127</v>
      </c>
    </row>
    <row r="21" customFormat="false" ht="15" hidden="false" customHeight="false" outlineLevel="0" collapsed="false">
      <c r="A21" s="15" t="s">
        <v>128</v>
      </c>
      <c r="B21" s="16" t="s">
        <v>129</v>
      </c>
    </row>
    <row r="22" customFormat="false" ht="15" hidden="false" customHeight="false" outlineLevel="0" collapsed="false">
      <c r="A22" s="15" t="s">
        <v>130</v>
      </c>
      <c r="B22" s="17" t="n">
        <f aca="true">TODAY()</f>
        <v>46270</v>
      </c>
    </row>
    <row r="23" customFormat="false" ht="17.15" hidden="false" customHeight="false" outlineLevel="0" collapsed="false">
      <c r="A23" s="18" t="s">
        <v>131</v>
      </c>
      <c r="B23" s="16" t="n">
        <f aca="true">DATE(2026,10,10)-TODAY()</f>
        <v>35</v>
      </c>
    </row>
    <row r="25" customFormat="false" ht="19.4" hidden="false" customHeight="false" outlineLevel="0" collapsed="false">
      <c r="A25" s="19" t="s">
        <v>132</v>
      </c>
      <c r="B25" s="19"/>
      <c r="C25" s="19"/>
      <c r="D25" s="19"/>
      <c r="E25" s="19"/>
      <c r="F25" s="19"/>
    </row>
    <row r="26" customFormat="false" ht="15" hidden="false" customHeight="false" outlineLevel="0" collapsed="false">
      <c r="A26" s="20" t="s">
        <v>133</v>
      </c>
      <c r="B26" s="21" t="n">
        <f aca="false">COUNTIF('일일 크로스체크'!G:G,"☑")</f>
        <v>34</v>
      </c>
    </row>
    <row r="27" customFormat="false" ht="15" hidden="false" customHeight="false" outlineLevel="0" collapsed="false">
      <c r="A27" s="20" t="s">
        <v>134</v>
      </c>
      <c r="B27" s="21" t="n">
        <f aca="false">COUNTIF('일일 크로스체크'!G:G,"☑")+COUNTIF('일일 크로스체크'!G:G,"☐")</f>
        <v>125</v>
      </c>
    </row>
    <row r="28" customFormat="false" ht="15" hidden="false" customHeight="false" outlineLevel="0" collapsed="false">
      <c r="A28" s="20" t="s">
        <v>135</v>
      </c>
      <c r="B28" s="22" t="n">
        <f aca="false">IFERROR(B26/B27,0)</f>
        <v>0.272</v>
      </c>
    </row>
    <row r="29" customFormat="false" ht="30" hidden="false" customHeight="true" outlineLevel="0" collapsed="false">
      <c r="A29" s="23" t="s">
        <v>136</v>
      </c>
      <c r="B29" s="23"/>
      <c r="C29" s="23"/>
      <c r="D29" s="23"/>
      <c r="E29" s="23"/>
      <c r="F29" s="23"/>
    </row>
    <row r="31" customFormat="false" ht="15" hidden="false" customHeight="false" outlineLevel="0" collapsed="false">
      <c r="A31" s="24" t="s">
        <v>95</v>
      </c>
      <c r="B31" s="25" t="s">
        <v>96</v>
      </c>
      <c r="C31" s="26" t="s">
        <v>137</v>
      </c>
    </row>
    <row r="32" customFormat="false" ht="15" hidden="false" customHeight="false" outlineLevel="0" collapsed="false">
      <c r="A32" s="27" t="s">
        <v>138</v>
      </c>
    </row>
    <row r="33" customFormat="false" ht="15" hidden="false" customHeight="false" outlineLevel="0" collapsed="false">
      <c r="A33" s="27" t="s">
        <v>139</v>
      </c>
    </row>
  </sheetData>
  <mergeCells count="3">
    <mergeCell ref="A1:F1"/>
    <mergeCell ref="A25:F25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5" min="4" style="0" width="8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23.85" hidden="false" customHeight="false" outlineLevel="0" collapsed="false">
      <c r="A1" s="6" t="s">
        <v>140</v>
      </c>
      <c r="B1" s="6"/>
      <c r="C1" s="6"/>
      <c r="D1" s="6"/>
      <c r="E1" s="6"/>
      <c r="F1" s="6"/>
      <c r="G1" s="6"/>
      <c r="H1" s="6"/>
    </row>
    <row r="3" customFormat="false" ht="32.8" hidden="false" customHeight="false" outlineLevel="0" collapsed="false">
      <c r="A3" s="2" t="s">
        <v>141</v>
      </c>
      <c r="B3" s="2" t="s">
        <v>92</v>
      </c>
      <c r="C3" s="2" t="s">
        <v>142</v>
      </c>
      <c r="D3" s="2" t="s">
        <v>143</v>
      </c>
      <c r="E3" s="2" t="s">
        <v>144</v>
      </c>
      <c r="F3" s="2" t="s">
        <v>145</v>
      </c>
      <c r="G3" s="2" t="s">
        <v>146</v>
      </c>
      <c r="H3" s="2" t="s">
        <v>3</v>
      </c>
    </row>
    <row r="4" customFormat="false" ht="33.75" hidden="false" customHeight="true" outlineLevel="0" collapsed="false">
      <c r="A4" s="28" t="s">
        <v>147</v>
      </c>
      <c r="B4" s="29" t="s">
        <v>148</v>
      </c>
      <c r="C4" s="30" t="s">
        <v>149</v>
      </c>
      <c r="D4" s="31" t="s">
        <v>150</v>
      </c>
      <c r="E4" s="31" t="s">
        <v>95</v>
      </c>
      <c r="F4" s="32" t="s">
        <v>151</v>
      </c>
      <c r="G4" s="28" t="s">
        <v>152</v>
      </c>
      <c r="H4" s="30" t="s">
        <v>153</v>
      </c>
    </row>
    <row r="5" customFormat="false" ht="33.75" hidden="false" customHeight="true" outlineLevel="0" collapsed="false">
      <c r="A5" s="33" t="s">
        <v>147</v>
      </c>
      <c r="B5" s="34" t="s">
        <v>148</v>
      </c>
      <c r="C5" s="35" t="s">
        <v>154</v>
      </c>
      <c r="D5" s="36" t="s">
        <v>150</v>
      </c>
      <c r="E5" s="36" t="s">
        <v>95</v>
      </c>
      <c r="F5" s="34" t="s">
        <v>155</v>
      </c>
      <c r="G5" s="33" t="s">
        <v>152</v>
      </c>
      <c r="H5" s="34" t="s">
        <v>156</v>
      </c>
    </row>
    <row r="6" customFormat="false" ht="33.75" hidden="false" customHeight="true" outlineLevel="0" collapsed="false">
      <c r="A6" s="28" t="s">
        <v>147</v>
      </c>
      <c r="B6" s="29" t="s">
        <v>148</v>
      </c>
      <c r="C6" s="30" t="s">
        <v>157</v>
      </c>
      <c r="D6" s="31" t="s">
        <v>150</v>
      </c>
      <c r="E6" s="31" t="s">
        <v>95</v>
      </c>
      <c r="F6" s="32" t="s">
        <v>151</v>
      </c>
      <c r="G6" s="28" t="s">
        <v>152</v>
      </c>
      <c r="H6" s="30" t="s">
        <v>153</v>
      </c>
    </row>
    <row r="7" customFormat="false" ht="33.75" hidden="false" customHeight="true" outlineLevel="0" collapsed="false">
      <c r="A7" s="28" t="s">
        <v>147</v>
      </c>
      <c r="B7" s="29" t="s">
        <v>148</v>
      </c>
      <c r="C7" s="30" t="s">
        <v>158</v>
      </c>
      <c r="D7" s="31" t="s">
        <v>150</v>
      </c>
      <c r="E7" s="31" t="s">
        <v>95</v>
      </c>
      <c r="F7" s="32" t="s">
        <v>151</v>
      </c>
      <c r="G7" s="28" t="s">
        <v>159</v>
      </c>
      <c r="H7" s="30" t="s">
        <v>153</v>
      </c>
    </row>
    <row r="8" customFormat="false" ht="33.75" hidden="false" customHeight="true" outlineLevel="0" collapsed="false">
      <c r="A8" s="28" t="s">
        <v>147</v>
      </c>
      <c r="B8" s="29" t="s">
        <v>148</v>
      </c>
      <c r="C8" s="30" t="s">
        <v>160</v>
      </c>
      <c r="D8" s="31" t="s">
        <v>150</v>
      </c>
      <c r="E8" s="31" t="s">
        <v>95</v>
      </c>
      <c r="F8" s="32" t="s">
        <v>151</v>
      </c>
      <c r="G8" s="28" t="s">
        <v>159</v>
      </c>
      <c r="H8" s="30" t="s">
        <v>153</v>
      </c>
    </row>
    <row r="9" customFormat="false" ht="33.75" hidden="false" customHeight="true" outlineLevel="0" collapsed="false">
      <c r="A9" s="28" t="s">
        <v>147</v>
      </c>
      <c r="B9" s="29" t="s">
        <v>148</v>
      </c>
      <c r="C9" s="30" t="s">
        <v>161</v>
      </c>
      <c r="D9" s="31" t="s">
        <v>150</v>
      </c>
      <c r="E9" s="31" t="s">
        <v>95</v>
      </c>
      <c r="F9" s="32" t="s">
        <v>151</v>
      </c>
      <c r="G9" s="28" t="s">
        <v>159</v>
      </c>
      <c r="H9" s="30" t="s">
        <v>153</v>
      </c>
    </row>
    <row r="10" customFormat="false" ht="33.75" hidden="false" customHeight="true" outlineLevel="0" collapsed="false">
      <c r="A10" s="37" t="s">
        <v>147</v>
      </c>
      <c r="B10" s="38" t="s">
        <v>148</v>
      </c>
      <c r="C10" s="39" t="s">
        <v>162</v>
      </c>
      <c r="D10" s="40" t="s">
        <v>150</v>
      </c>
      <c r="E10" s="40" t="s">
        <v>95</v>
      </c>
      <c r="F10" s="38" t="s">
        <v>155</v>
      </c>
      <c r="G10" s="37" t="s">
        <v>159</v>
      </c>
      <c r="H10" s="38" t="s">
        <v>163</v>
      </c>
    </row>
    <row r="11" customFormat="false" ht="33.75" hidden="false" customHeight="true" outlineLevel="0" collapsed="false">
      <c r="A11" s="37" t="s">
        <v>147</v>
      </c>
      <c r="B11" s="38" t="s">
        <v>148</v>
      </c>
      <c r="C11" s="39" t="s">
        <v>164</v>
      </c>
      <c r="D11" s="40" t="s">
        <v>150</v>
      </c>
      <c r="E11" s="40" t="s">
        <v>95</v>
      </c>
      <c r="F11" s="38" t="s">
        <v>155</v>
      </c>
      <c r="G11" s="37" t="s">
        <v>159</v>
      </c>
      <c r="H11" s="38" t="s">
        <v>165</v>
      </c>
    </row>
    <row r="12" customFormat="false" ht="33.75" hidden="false" customHeight="true" outlineLevel="0" collapsed="false">
      <c r="A12" s="37" t="s">
        <v>147</v>
      </c>
      <c r="B12" s="38" t="s">
        <v>148</v>
      </c>
      <c r="C12" s="39" t="s">
        <v>166</v>
      </c>
      <c r="D12" s="40" t="s">
        <v>167</v>
      </c>
      <c r="E12" s="40" t="s">
        <v>95</v>
      </c>
      <c r="F12" s="41" t="s">
        <v>151</v>
      </c>
      <c r="G12" s="37" t="s">
        <v>159</v>
      </c>
      <c r="H12" s="38" t="s">
        <v>168</v>
      </c>
    </row>
    <row r="13" customFormat="false" ht="33.75" hidden="false" customHeight="true" outlineLevel="0" collapsed="false">
      <c r="A13" s="37" t="s">
        <v>147</v>
      </c>
      <c r="B13" s="38" t="s">
        <v>148</v>
      </c>
      <c r="C13" s="39" t="s">
        <v>169</v>
      </c>
      <c r="D13" s="40" t="s">
        <v>167</v>
      </c>
      <c r="E13" s="40" t="s">
        <v>95</v>
      </c>
      <c r="F13" s="41" t="s">
        <v>151</v>
      </c>
      <c r="G13" s="37" t="s">
        <v>159</v>
      </c>
      <c r="H13" s="38" t="s">
        <v>170</v>
      </c>
    </row>
    <row r="14" customFormat="false" ht="33.75" hidden="false" customHeight="true" outlineLevel="0" collapsed="false">
      <c r="A14" s="37" t="s">
        <v>147</v>
      </c>
      <c r="B14" s="38" t="s">
        <v>148</v>
      </c>
      <c r="C14" s="39" t="s">
        <v>171</v>
      </c>
      <c r="D14" s="40" t="s">
        <v>167</v>
      </c>
      <c r="E14" s="40" t="s">
        <v>95</v>
      </c>
      <c r="F14" s="41" t="s">
        <v>151</v>
      </c>
      <c r="G14" s="37" t="s">
        <v>159</v>
      </c>
      <c r="H14" s="38" t="s">
        <v>172</v>
      </c>
    </row>
    <row r="15" customFormat="false" ht="33.75" hidden="false" customHeight="true" outlineLevel="0" collapsed="false">
      <c r="A15" s="33" t="s">
        <v>147</v>
      </c>
      <c r="B15" s="34" t="s">
        <v>148</v>
      </c>
      <c r="C15" s="34" t="s">
        <v>173</v>
      </c>
      <c r="D15" s="36" t="s">
        <v>150</v>
      </c>
      <c r="E15" s="36" t="s">
        <v>95</v>
      </c>
      <c r="F15" s="42" t="s">
        <v>151</v>
      </c>
      <c r="G15" s="33" t="s">
        <v>159</v>
      </c>
      <c r="H15" s="34" t="s">
        <v>174</v>
      </c>
    </row>
    <row r="16" customFormat="false" ht="33.75" hidden="false" customHeight="true" outlineLevel="0" collapsed="false">
      <c r="A16" s="28" t="s">
        <v>147</v>
      </c>
      <c r="B16" s="29" t="s">
        <v>148</v>
      </c>
      <c r="C16" s="30" t="s">
        <v>175</v>
      </c>
      <c r="D16" s="31" t="s">
        <v>150</v>
      </c>
      <c r="E16" s="31" t="s">
        <v>95</v>
      </c>
      <c r="F16" s="32" t="s">
        <v>151</v>
      </c>
      <c r="G16" s="28" t="s">
        <v>176</v>
      </c>
      <c r="H16" s="30" t="s">
        <v>153</v>
      </c>
    </row>
    <row r="17" customFormat="false" ht="33.75" hidden="false" customHeight="true" outlineLevel="0" collapsed="false">
      <c r="A17" s="28" t="s">
        <v>147</v>
      </c>
      <c r="B17" s="29" t="s">
        <v>148</v>
      </c>
      <c r="C17" s="29" t="s">
        <v>177</v>
      </c>
      <c r="D17" s="31" t="s">
        <v>150</v>
      </c>
      <c r="E17" s="31" t="s">
        <v>95</v>
      </c>
      <c r="F17" s="32" t="s">
        <v>151</v>
      </c>
      <c r="G17" s="28" t="s">
        <v>176</v>
      </c>
      <c r="H17" s="30" t="s">
        <v>153</v>
      </c>
    </row>
    <row r="18" customFormat="false" ht="33.75" hidden="false" customHeight="true" outlineLevel="0" collapsed="false">
      <c r="A18" s="28" t="s">
        <v>147</v>
      </c>
      <c r="B18" s="29" t="s">
        <v>148</v>
      </c>
      <c r="C18" s="30" t="s">
        <v>178</v>
      </c>
      <c r="D18" s="31" t="s">
        <v>150</v>
      </c>
      <c r="E18" s="31" t="s">
        <v>95</v>
      </c>
      <c r="F18" s="32" t="s">
        <v>151</v>
      </c>
      <c r="G18" s="28" t="s">
        <v>176</v>
      </c>
      <c r="H18" s="30" t="s">
        <v>153</v>
      </c>
    </row>
    <row r="19" customFormat="false" ht="33.75" hidden="false" customHeight="true" outlineLevel="0" collapsed="false">
      <c r="A19" s="28" t="s">
        <v>147</v>
      </c>
      <c r="B19" s="29" t="s">
        <v>148</v>
      </c>
      <c r="C19" s="30" t="s">
        <v>179</v>
      </c>
      <c r="D19" s="31" t="s">
        <v>167</v>
      </c>
      <c r="E19" s="31" t="s">
        <v>95</v>
      </c>
      <c r="F19" s="32" t="s">
        <v>151</v>
      </c>
      <c r="G19" s="28" t="s">
        <v>176</v>
      </c>
      <c r="H19" s="30" t="s">
        <v>153</v>
      </c>
    </row>
    <row r="20" customFormat="false" ht="33.75" hidden="false" customHeight="true" outlineLevel="0" collapsed="false">
      <c r="A20" s="28" t="s">
        <v>147</v>
      </c>
      <c r="B20" s="29" t="s">
        <v>148</v>
      </c>
      <c r="C20" s="30" t="s">
        <v>180</v>
      </c>
      <c r="D20" s="31" t="s">
        <v>150</v>
      </c>
      <c r="E20" s="31" t="s">
        <v>95</v>
      </c>
      <c r="F20" s="29" t="s">
        <v>155</v>
      </c>
      <c r="G20" s="28" t="s">
        <v>176</v>
      </c>
      <c r="H20" s="30" t="s">
        <v>153</v>
      </c>
    </row>
    <row r="21" customFormat="false" ht="33.75" hidden="false" customHeight="true" outlineLevel="0" collapsed="false">
      <c r="A21" s="37" t="s">
        <v>147</v>
      </c>
      <c r="B21" s="38" t="s">
        <v>148</v>
      </c>
      <c r="C21" s="39" t="s">
        <v>181</v>
      </c>
      <c r="D21" s="40" t="s">
        <v>167</v>
      </c>
      <c r="E21" s="40" t="s">
        <v>95</v>
      </c>
      <c r="F21" s="41" t="s">
        <v>151</v>
      </c>
      <c r="G21" s="37" t="s">
        <v>176</v>
      </c>
      <c r="H21" s="38" t="s">
        <v>182</v>
      </c>
    </row>
    <row r="22" customFormat="false" ht="33.75" hidden="false" customHeight="true" outlineLevel="0" collapsed="false">
      <c r="A22" s="37" t="s">
        <v>147</v>
      </c>
      <c r="B22" s="38" t="s">
        <v>148</v>
      </c>
      <c r="C22" s="39" t="s">
        <v>183</v>
      </c>
      <c r="D22" s="40" t="s">
        <v>167</v>
      </c>
      <c r="E22" s="40" t="s">
        <v>95</v>
      </c>
      <c r="F22" s="41" t="s">
        <v>151</v>
      </c>
      <c r="G22" s="37" t="s">
        <v>176</v>
      </c>
      <c r="H22" s="38" t="s">
        <v>184</v>
      </c>
    </row>
    <row r="23" customFormat="false" ht="33.75" hidden="false" customHeight="true" outlineLevel="0" collapsed="false">
      <c r="A23" s="37" t="s">
        <v>147</v>
      </c>
      <c r="B23" s="38" t="s">
        <v>148</v>
      </c>
      <c r="C23" s="38" t="s">
        <v>185</v>
      </c>
      <c r="D23" s="40" t="s">
        <v>167</v>
      </c>
      <c r="E23" s="40" t="s">
        <v>95</v>
      </c>
      <c r="F23" s="41" t="s">
        <v>151</v>
      </c>
      <c r="G23" s="37" t="s">
        <v>176</v>
      </c>
      <c r="H23" s="38" t="s">
        <v>186</v>
      </c>
    </row>
    <row r="24" customFormat="false" ht="33.75" hidden="false" customHeight="true" outlineLevel="0" collapsed="false">
      <c r="A24" s="33" t="s">
        <v>147</v>
      </c>
      <c r="B24" s="34" t="s">
        <v>148</v>
      </c>
      <c r="C24" s="35" t="s">
        <v>187</v>
      </c>
      <c r="D24" s="36" t="s">
        <v>150</v>
      </c>
      <c r="E24" s="36" t="s">
        <v>95</v>
      </c>
      <c r="F24" s="34" t="s">
        <v>155</v>
      </c>
      <c r="G24" s="33" t="s">
        <v>176</v>
      </c>
      <c r="H24" s="34" t="s">
        <v>188</v>
      </c>
    </row>
    <row r="25" customFormat="false" ht="33.75" hidden="false" customHeight="true" outlineLevel="0" collapsed="false">
      <c r="A25" s="33" t="s">
        <v>147</v>
      </c>
      <c r="B25" s="34" t="s">
        <v>148</v>
      </c>
      <c r="C25" s="34" t="s">
        <v>189</v>
      </c>
      <c r="D25" s="36" t="s">
        <v>150</v>
      </c>
      <c r="E25" s="36" t="s">
        <v>95</v>
      </c>
      <c r="F25" s="34" t="s">
        <v>155</v>
      </c>
      <c r="G25" s="33" t="s">
        <v>176</v>
      </c>
      <c r="H25" s="34" t="s">
        <v>190</v>
      </c>
    </row>
    <row r="26" customFormat="false" ht="33.75" hidden="false" customHeight="true" outlineLevel="0" collapsed="false">
      <c r="A26" s="33" t="s">
        <v>147</v>
      </c>
      <c r="B26" s="34" t="s">
        <v>148</v>
      </c>
      <c r="C26" s="35" t="s">
        <v>191</v>
      </c>
      <c r="D26" s="36" t="s">
        <v>167</v>
      </c>
      <c r="E26" s="36" t="s">
        <v>95</v>
      </c>
      <c r="F26" s="34" t="s">
        <v>155</v>
      </c>
      <c r="G26" s="33" t="s">
        <v>176</v>
      </c>
      <c r="H26" s="34" t="s">
        <v>192</v>
      </c>
    </row>
    <row r="27" customFormat="false" ht="33.75" hidden="false" customHeight="true" outlineLevel="0" collapsed="false">
      <c r="A27" s="33" t="s">
        <v>147</v>
      </c>
      <c r="B27" s="34" t="s">
        <v>148</v>
      </c>
      <c r="C27" s="35" t="s">
        <v>193</v>
      </c>
      <c r="D27" s="36" t="s">
        <v>194</v>
      </c>
      <c r="E27" s="36" t="s">
        <v>95</v>
      </c>
      <c r="F27" s="34" t="s">
        <v>155</v>
      </c>
      <c r="G27" s="33" t="s">
        <v>176</v>
      </c>
      <c r="H27" s="34" t="s">
        <v>195</v>
      </c>
    </row>
    <row r="28" customFormat="false" ht="33.75" hidden="false" customHeight="true" outlineLevel="0" collapsed="false">
      <c r="A28" s="33" t="s">
        <v>147</v>
      </c>
      <c r="B28" s="34" t="s">
        <v>148</v>
      </c>
      <c r="C28" s="34" t="s">
        <v>196</v>
      </c>
      <c r="D28" s="36" t="s">
        <v>150</v>
      </c>
      <c r="E28" s="36" t="s">
        <v>95</v>
      </c>
      <c r="F28" s="34" t="s">
        <v>155</v>
      </c>
      <c r="G28" s="33" t="s">
        <v>197</v>
      </c>
      <c r="H28" s="34" t="s">
        <v>198</v>
      </c>
    </row>
    <row r="29" customFormat="false" ht="33.75" hidden="false" customHeight="true" outlineLevel="0" collapsed="false">
      <c r="A29" s="33" t="s">
        <v>147</v>
      </c>
      <c r="B29" s="34" t="s">
        <v>148</v>
      </c>
      <c r="C29" s="35" t="s">
        <v>199</v>
      </c>
      <c r="D29" s="36" t="s">
        <v>167</v>
      </c>
      <c r="E29" s="36" t="s">
        <v>95</v>
      </c>
      <c r="F29" s="42" t="s">
        <v>151</v>
      </c>
      <c r="G29" s="33" t="s">
        <v>197</v>
      </c>
      <c r="H29" s="34" t="s">
        <v>200</v>
      </c>
    </row>
    <row r="30" customFormat="false" ht="33.75" hidden="false" customHeight="true" outlineLevel="0" collapsed="false">
      <c r="A30" s="33" t="s">
        <v>147</v>
      </c>
      <c r="B30" s="34" t="s">
        <v>148</v>
      </c>
      <c r="C30" s="35" t="s">
        <v>201</v>
      </c>
      <c r="D30" s="36" t="s">
        <v>167</v>
      </c>
      <c r="E30" s="36" t="s">
        <v>95</v>
      </c>
      <c r="F30" s="42" t="s">
        <v>151</v>
      </c>
      <c r="G30" s="33" t="s">
        <v>197</v>
      </c>
      <c r="H30" s="34" t="s">
        <v>200</v>
      </c>
    </row>
    <row r="31" customFormat="false" ht="33.75" hidden="false" customHeight="true" outlineLevel="0" collapsed="false">
      <c r="A31" s="33" t="s">
        <v>147</v>
      </c>
      <c r="B31" s="34" t="s">
        <v>148</v>
      </c>
      <c r="C31" s="34" t="s">
        <v>202</v>
      </c>
      <c r="D31" s="36" t="s">
        <v>167</v>
      </c>
      <c r="E31" s="36" t="s">
        <v>95</v>
      </c>
      <c r="F31" s="42" t="s">
        <v>151</v>
      </c>
      <c r="G31" s="33" t="s">
        <v>197</v>
      </c>
      <c r="H31" s="34" t="s">
        <v>200</v>
      </c>
    </row>
    <row r="32" customFormat="false" ht="33.75" hidden="false" customHeight="true" outlineLevel="0" collapsed="false">
      <c r="A32" s="43" t="s">
        <v>147</v>
      </c>
      <c r="B32" s="44" t="s">
        <v>148</v>
      </c>
      <c r="C32" s="45" t="s">
        <v>203</v>
      </c>
      <c r="D32" s="46" t="s">
        <v>150</v>
      </c>
      <c r="E32" s="46" t="s">
        <v>95</v>
      </c>
      <c r="F32" s="44" t="s">
        <v>204</v>
      </c>
      <c r="G32" s="43" t="s">
        <v>205</v>
      </c>
      <c r="H32" s="44" t="s">
        <v>206</v>
      </c>
    </row>
    <row r="33" customFormat="false" ht="33.75" hidden="false" customHeight="true" outlineLevel="0" collapsed="false">
      <c r="A33" s="33" t="s">
        <v>207</v>
      </c>
      <c r="B33" s="35" t="s">
        <v>208</v>
      </c>
      <c r="C33" s="34" t="s">
        <v>209</v>
      </c>
      <c r="D33" s="36" t="s">
        <v>150</v>
      </c>
      <c r="E33" s="36" t="s">
        <v>137</v>
      </c>
      <c r="F33" s="42" t="s">
        <v>151</v>
      </c>
      <c r="G33" s="33" t="s">
        <v>210</v>
      </c>
      <c r="H33" s="34" t="s">
        <v>211</v>
      </c>
    </row>
    <row r="34" customFormat="false" ht="33.75" hidden="false" customHeight="true" outlineLevel="0" collapsed="false">
      <c r="A34" s="33" t="s">
        <v>207</v>
      </c>
      <c r="B34" s="35" t="s">
        <v>208</v>
      </c>
      <c r="C34" s="35" t="s">
        <v>212</v>
      </c>
      <c r="D34" s="36" t="s">
        <v>167</v>
      </c>
      <c r="E34" s="36" t="s">
        <v>137</v>
      </c>
      <c r="F34" s="42" t="s">
        <v>151</v>
      </c>
      <c r="G34" s="33" t="s">
        <v>213</v>
      </c>
      <c r="H34" s="34" t="s">
        <v>200</v>
      </c>
    </row>
    <row r="35" customFormat="false" ht="33.75" hidden="false" customHeight="true" outlineLevel="0" collapsed="false">
      <c r="A35" s="33" t="s">
        <v>207</v>
      </c>
      <c r="B35" s="35" t="s">
        <v>208</v>
      </c>
      <c r="C35" s="34" t="s">
        <v>214</v>
      </c>
      <c r="D35" s="36" t="s">
        <v>150</v>
      </c>
      <c r="E35" s="36" t="s">
        <v>137</v>
      </c>
      <c r="F35" s="42" t="s">
        <v>151</v>
      </c>
      <c r="G35" s="33" t="s">
        <v>210</v>
      </c>
      <c r="H35" s="34" t="s">
        <v>200</v>
      </c>
    </row>
    <row r="36" customFormat="false" ht="33.75" hidden="false" customHeight="true" outlineLevel="0" collapsed="false">
      <c r="A36" s="33" t="s">
        <v>207</v>
      </c>
      <c r="B36" s="35" t="s">
        <v>208</v>
      </c>
      <c r="C36" s="34" t="s">
        <v>215</v>
      </c>
      <c r="D36" s="36" t="s">
        <v>150</v>
      </c>
      <c r="E36" s="36" t="s">
        <v>137</v>
      </c>
      <c r="F36" s="42" t="s">
        <v>151</v>
      </c>
      <c r="G36" s="33" t="s">
        <v>210</v>
      </c>
      <c r="H36" s="34" t="s">
        <v>216</v>
      </c>
    </row>
    <row r="37" customFormat="false" ht="33.75" hidden="false" customHeight="true" outlineLevel="0" collapsed="false">
      <c r="A37" s="33" t="s">
        <v>207</v>
      </c>
      <c r="B37" s="35" t="s">
        <v>208</v>
      </c>
      <c r="C37" s="34" t="s">
        <v>217</v>
      </c>
      <c r="D37" s="36" t="s">
        <v>150</v>
      </c>
      <c r="E37" s="36" t="s">
        <v>137</v>
      </c>
      <c r="F37" s="34" t="s">
        <v>218</v>
      </c>
      <c r="G37" s="33" t="s">
        <v>213</v>
      </c>
      <c r="H37" s="34" t="s">
        <v>219</v>
      </c>
    </row>
    <row r="38" customFormat="false" ht="33.75" hidden="false" customHeight="true" outlineLevel="0" collapsed="false">
      <c r="A38" s="43" t="s">
        <v>207</v>
      </c>
      <c r="B38" s="45" t="s">
        <v>208</v>
      </c>
      <c r="C38" s="45" t="s">
        <v>220</v>
      </c>
      <c r="D38" s="46" t="s">
        <v>150</v>
      </c>
      <c r="E38" s="46" t="s">
        <v>137</v>
      </c>
      <c r="F38" s="44" t="s">
        <v>204</v>
      </c>
      <c r="G38" s="43" t="s">
        <v>213</v>
      </c>
      <c r="H38" s="44" t="s">
        <v>206</v>
      </c>
    </row>
    <row r="39" customFormat="false" ht="33.75" hidden="false" customHeight="true" outlineLevel="0" collapsed="false">
      <c r="A39" s="33" t="s">
        <v>221</v>
      </c>
      <c r="B39" s="34" t="s">
        <v>102</v>
      </c>
      <c r="C39" s="34" t="s">
        <v>222</v>
      </c>
      <c r="D39" s="36" t="s">
        <v>150</v>
      </c>
      <c r="E39" s="36" t="s">
        <v>95</v>
      </c>
      <c r="F39" s="34" t="s">
        <v>218</v>
      </c>
      <c r="G39" s="33" t="s">
        <v>223</v>
      </c>
      <c r="H39" s="34" t="s">
        <v>224</v>
      </c>
    </row>
    <row r="40" customFormat="false" ht="33.75" hidden="false" customHeight="true" outlineLevel="0" collapsed="false">
      <c r="A40" s="37" t="s">
        <v>221</v>
      </c>
      <c r="B40" s="38" t="s">
        <v>102</v>
      </c>
      <c r="C40" s="39" t="s">
        <v>225</v>
      </c>
      <c r="D40" s="40" t="s">
        <v>150</v>
      </c>
      <c r="E40" s="40" t="s">
        <v>95</v>
      </c>
      <c r="F40" s="38" t="s">
        <v>218</v>
      </c>
      <c r="G40" s="37" t="s">
        <v>223</v>
      </c>
      <c r="H40" s="38"/>
    </row>
    <row r="41" customFormat="false" ht="33.75" hidden="false" customHeight="true" outlineLevel="0" collapsed="false">
      <c r="A41" s="33" t="s">
        <v>221</v>
      </c>
      <c r="B41" s="34" t="s">
        <v>102</v>
      </c>
      <c r="C41" s="35" t="s">
        <v>226</v>
      </c>
      <c r="D41" s="36" t="s">
        <v>167</v>
      </c>
      <c r="E41" s="36" t="s">
        <v>95</v>
      </c>
      <c r="F41" s="34" t="s">
        <v>218</v>
      </c>
      <c r="G41" s="33" t="s">
        <v>223</v>
      </c>
      <c r="H41" s="34" t="s">
        <v>227</v>
      </c>
    </row>
    <row r="42" customFormat="false" ht="33.75" hidden="false" customHeight="true" outlineLevel="0" collapsed="false">
      <c r="A42" s="33" t="s">
        <v>221</v>
      </c>
      <c r="B42" s="34" t="s">
        <v>102</v>
      </c>
      <c r="C42" s="35" t="s">
        <v>228</v>
      </c>
      <c r="D42" s="36" t="s">
        <v>150</v>
      </c>
      <c r="E42" s="36" t="s">
        <v>95</v>
      </c>
      <c r="F42" s="34" t="s">
        <v>218</v>
      </c>
      <c r="G42" s="33" t="s">
        <v>223</v>
      </c>
      <c r="H42" s="34" t="s">
        <v>229</v>
      </c>
    </row>
    <row r="43" customFormat="false" ht="33.75" hidden="false" customHeight="true" outlineLevel="0" collapsed="false">
      <c r="A43" s="33" t="s">
        <v>230</v>
      </c>
      <c r="B43" s="34" t="s">
        <v>120</v>
      </c>
      <c r="C43" s="34" t="s">
        <v>231</v>
      </c>
      <c r="D43" s="36" t="s">
        <v>232</v>
      </c>
      <c r="E43" s="36" t="s">
        <v>95</v>
      </c>
      <c r="F43" s="42" t="s">
        <v>151</v>
      </c>
      <c r="G43" s="33" t="s">
        <v>223</v>
      </c>
      <c r="H43" s="34" t="s">
        <v>233</v>
      </c>
    </row>
    <row r="44" customFormat="false" ht="33.75" hidden="false" customHeight="true" outlineLevel="0" collapsed="false">
      <c r="A44" s="37" t="s">
        <v>230</v>
      </c>
      <c r="B44" s="38" t="s">
        <v>120</v>
      </c>
      <c r="C44" s="39" t="s">
        <v>234</v>
      </c>
      <c r="D44" s="40" t="s">
        <v>150</v>
      </c>
      <c r="E44" s="40" t="s">
        <v>137</v>
      </c>
      <c r="F44" s="41" t="s">
        <v>151</v>
      </c>
      <c r="G44" s="37" t="s">
        <v>235</v>
      </c>
      <c r="H44" s="38" t="s">
        <v>236</v>
      </c>
    </row>
    <row r="45" customFormat="false" ht="33.75" hidden="false" customHeight="true" outlineLevel="0" collapsed="false">
      <c r="A45" s="37" t="s">
        <v>221</v>
      </c>
      <c r="B45" s="38" t="s">
        <v>102</v>
      </c>
      <c r="C45" s="38" t="s">
        <v>237</v>
      </c>
      <c r="D45" s="40" t="s">
        <v>167</v>
      </c>
      <c r="E45" s="40" t="s">
        <v>137</v>
      </c>
      <c r="F45" s="38" t="s">
        <v>218</v>
      </c>
      <c r="G45" s="37" t="s">
        <v>238</v>
      </c>
      <c r="H45" s="38"/>
    </row>
    <row r="46" customFormat="false" ht="33.75" hidden="false" customHeight="true" outlineLevel="0" collapsed="false">
      <c r="A46" s="37" t="s">
        <v>221</v>
      </c>
      <c r="B46" s="38" t="s">
        <v>102</v>
      </c>
      <c r="C46" s="39" t="s">
        <v>239</v>
      </c>
      <c r="D46" s="40" t="s">
        <v>150</v>
      </c>
      <c r="E46" s="40" t="s">
        <v>137</v>
      </c>
      <c r="F46" s="38" t="s">
        <v>218</v>
      </c>
      <c r="G46" s="37" t="s">
        <v>240</v>
      </c>
      <c r="H46" s="38" t="s">
        <v>241</v>
      </c>
    </row>
    <row r="47" customFormat="false" ht="33.75" hidden="false" customHeight="true" outlineLevel="0" collapsed="false">
      <c r="A47" s="33" t="s">
        <v>221</v>
      </c>
      <c r="B47" s="34" t="s">
        <v>102</v>
      </c>
      <c r="C47" s="34" t="s">
        <v>242</v>
      </c>
      <c r="D47" s="36" t="s">
        <v>150</v>
      </c>
      <c r="E47" s="36" t="s">
        <v>137</v>
      </c>
      <c r="F47" s="34" t="s">
        <v>218</v>
      </c>
      <c r="G47" s="33" t="s">
        <v>243</v>
      </c>
      <c r="H47" s="34" t="s">
        <v>200</v>
      </c>
    </row>
    <row r="48" customFormat="false" ht="33.75" hidden="false" customHeight="true" outlineLevel="0" collapsed="false">
      <c r="A48" s="37" t="s">
        <v>221</v>
      </c>
      <c r="B48" s="38" t="s">
        <v>102</v>
      </c>
      <c r="C48" s="38" t="s">
        <v>244</v>
      </c>
      <c r="D48" s="40" t="s">
        <v>167</v>
      </c>
      <c r="E48" s="40" t="s">
        <v>137</v>
      </c>
      <c r="F48" s="38" t="s">
        <v>218</v>
      </c>
      <c r="G48" s="37" t="s">
        <v>245</v>
      </c>
      <c r="H48" s="38"/>
    </row>
    <row r="49" customFormat="false" ht="33.75" hidden="false" customHeight="true" outlineLevel="0" collapsed="false">
      <c r="A49" s="37" t="s">
        <v>221</v>
      </c>
      <c r="B49" s="38" t="s">
        <v>102</v>
      </c>
      <c r="C49" s="39" t="s">
        <v>246</v>
      </c>
      <c r="D49" s="40" t="s">
        <v>167</v>
      </c>
      <c r="E49" s="40" t="s">
        <v>137</v>
      </c>
      <c r="F49" s="38" t="s">
        <v>218</v>
      </c>
      <c r="G49" s="37" t="s">
        <v>245</v>
      </c>
      <c r="H49" s="39" t="s">
        <v>247</v>
      </c>
    </row>
    <row r="50" customFormat="false" ht="33.75" hidden="false" customHeight="true" outlineLevel="0" collapsed="false">
      <c r="A50" s="37" t="s">
        <v>221</v>
      </c>
      <c r="B50" s="38" t="s">
        <v>102</v>
      </c>
      <c r="C50" s="38" t="s">
        <v>248</v>
      </c>
      <c r="D50" s="40" t="s">
        <v>232</v>
      </c>
      <c r="E50" s="40" t="s">
        <v>137</v>
      </c>
      <c r="F50" s="41" t="s">
        <v>151</v>
      </c>
      <c r="G50" s="37" t="s">
        <v>249</v>
      </c>
      <c r="H50" s="38" t="s">
        <v>250</v>
      </c>
    </row>
    <row r="51" customFormat="false" ht="33.75" hidden="false" customHeight="true" outlineLevel="0" collapsed="false">
      <c r="A51" s="33" t="s">
        <v>221</v>
      </c>
      <c r="B51" s="34" t="s">
        <v>102</v>
      </c>
      <c r="C51" s="34" t="s">
        <v>251</v>
      </c>
      <c r="D51" s="36" t="s">
        <v>167</v>
      </c>
      <c r="E51" s="36" t="s">
        <v>137</v>
      </c>
      <c r="F51" s="34" t="s">
        <v>218</v>
      </c>
      <c r="G51" s="33" t="s">
        <v>252</v>
      </c>
      <c r="H51" s="34" t="s">
        <v>253</v>
      </c>
    </row>
    <row r="52" customFormat="false" ht="33.75" hidden="false" customHeight="true" outlineLevel="0" collapsed="false">
      <c r="A52" s="37" t="s">
        <v>221</v>
      </c>
      <c r="B52" s="38" t="s">
        <v>102</v>
      </c>
      <c r="C52" s="39" t="s">
        <v>254</v>
      </c>
      <c r="D52" s="40" t="s">
        <v>150</v>
      </c>
      <c r="E52" s="40" t="s">
        <v>137</v>
      </c>
      <c r="F52" s="38" t="s">
        <v>218</v>
      </c>
      <c r="G52" s="37" t="s">
        <v>255</v>
      </c>
      <c r="H52" s="38"/>
    </row>
    <row r="53" customFormat="false" ht="33.75" hidden="false" customHeight="true" outlineLevel="0" collapsed="false">
      <c r="A53" s="37" t="s">
        <v>221</v>
      </c>
      <c r="B53" s="38" t="s">
        <v>102</v>
      </c>
      <c r="C53" s="39" t="s">
        <v>256</v>
      </c>
      <c r="D53" s="40" t="s">
        <v>232</v>
      </c>
      <c r="E53" s="40" t="s">
        <v>137</v>
      </c>
      <c r="F53" s="41" t="s">
        <v>151</v>
      </c>
      <c r="G53" s="37" t="s">
        <v>255</v>
      </c>
      <c r="H53" s="39" t="s">
        <v>257</v>
      </c>
    </row>
    <row r="54" customFormat="false" ht="33.75" hidden="false" customHeight="true" outlineLevel="0" collapsed="false">
      <c r="A54" s="43" t="s">
        <v>221</v>
      </c>
      <c r="B54" s="44" t="s">
        <v>102</v>
      </c>
      <c r="C54" s="45" t="s">
        <v>258</v>
      </c>
      <c r="D54" s="46" t="s">
        <v>167</v>
      </c>
      <c r="E54" s="46" t="s">
        <v>137</v>
      </c>
      <c r="F54" s="44" t="s">
        <v>204</v>
      </c>
      <c r="G54" s="43" t="s">
        <v>255</v>
      </c>
      <c r="H54" s="44" t="s">
        <v>259</v>
      </c>
    </row>
    <row r="55" customFormat="false" ht="33.75" hidden="false" customHeight="true" outlineLevel="0" collapsed="false">
      <c r="A55" s="43" t="s">
        <v>221</v>
      </c>
      <c r="B55" s="44" t="s">
        <v>102</v>
      </c>
      <c r="C55" s="45" t="s">
        <v>260</v>
      </c>
      <c r="D55" s="46" t="s">
        <v>150</v>
      </c>
      <c r="E55" s="46" t="s">
        <v>137</v>
      </c>
      <c r="F55" s="44" t="s">
        <v>204</v>
      </c>
      <c r="G55" s="43" t="s">
        <v>249</v>
      </c>
      <c r="H55" s="44" t="s">
        <v>206</v>
      </c>
    </row>
    <row r="56" customFormat="false" ht="33.75" hidden="false" customHeight="true" outlineLevel="0" collapsed="false">
      <c r="A56" s="37" t="s">
        <v>230</v>
      </c>
      <c r="B56" s="38" t="s">
        <v>120</v>
      </c>
      <c r="C56" s="39" t="s">
        <v>261</v>
      </c>
      <c r="D56" s="40" t="s">
        <v>150</v>
      </c>
      <c r="E56" s="40" t="s">
        <v>137</v>
      </c>
      <c r="F56" s="38" t="s">
        <v>218</v>
      </c>
      <c r="G56" s="37" t="s">
        <v>262</v>
      </c>
      <c r="H56" s="38" t="s">
        <v>263</v>
      </c>
    </row>
    <row r="57" customFormat="false" ht="33.75" hidden="false" customHeight="true" outlineLevel="0" collapsed="false">
      <c r="A57" s="43" t="s">
        <v>230</v>
      </c>
      <c r="B57" s="44" t="s">
        <v>120</v>
      </c>
      <c r="C57" s="45" t="s">
        <v>264</v>
      </c>
      <c r="D57" s="46" t="s">
        <v>167</v>
      </c>
      <c r="E57" s="46" t="s">
        <v>137</v>
      </c>
      <c r="F57" s="44" t="s">
        <v>204</v>
      </c>
      <c r="G57" s="43" t="s">
        <v>262</v>
      </c>
      <c r="H57" s="44" t="s">
        <v>265</v>
      </c>
    </row>
    <row r="58" customFormat="false" ht="33.75" hidden="false" customHeight="true" outlineLevel="0" collapsed="false">
      <c r="A58" s="33" t="s">
        <v>221</v>
      </c>
      <c r="B58" s="34" t="s">
        <v>102</v>
      </c>
      <c r="C58" s="34" t="s">
        <v>266</v>
      </c>
      <c r="D58" s="36" t="s">
        <v>167</v>
      </c>
      <c r="E58" s="36" t="s">
        <v>137</v>
      </c>
      <c r="F58" s="34" t="s">
        <v>218</v>
      </c>
      <c r="G58" s="33" t="s">
        <v>252</v>
      </c>
      <c r="H58" s="34" t="s">
        <v>267</v>
      </c>
    </row>
    <row r="59" customFormat="false" ht="33.75" hidden="false" customHeight="true" outlineLevel="0" collapsed="false">
      <c r="A59" s="37" t="s">
        <v>268</v>
      </c>
      <c r="B59" s="38" t="s">
        <v>104</v>
      </c>
      <c r="C59" s="38" t="s">
        <v>269</v>
      </c>
      <c r="D59" s="40" t="s">
        <v>150</v>
      </c>
      <c r="E59" s="40" t="s">
        <v>137</v>
      </c>
      <c r="F59" s="38" t="s">
        <v>218</v>
      </c>
      <c r="G59" s="37" t="s">
        <v>270</v>
      </c>
      <c r="H59" s="39" t="s">
        <v>271</v>
      </c>
    </row>
    <row r="60" customFormat="false" ht="33.75" hidden="false" customHeight="true" outlineLevel="0" collapsed="false">
      <c r="A60" s="37" t="s">
        <v>268</v>
      </c>
      <c r="B60" s="38" t="s">
        <v>104</v>
      </c>
      <c r="C60" s="38" t="s">
        <v>272</v>
      </c>
      <c r="D60" s="40" t="s">
        <v>150</v>
      </c>
      <c r="E60" s="40" t="s">
        <v>137</v>
      </c>
      <c r="F60" s="41" t="s">
        <v>151</v>
      </c>
      <c r="G60" s="37" t="s">
        <v>273</v>
      </c>
      <c r="H60" s="38" t="s">
        <v>274</v>
      </c>
    </row>
    <row r="61" customFormat="false" ht="33.75" hidden="false" customHeight="true" outlineLevel="0" collapsed="false">
      <c r="A61" s="33" t="s">
        <v>268</v>
      </c>
      <c r="B61" s="34" t="s">
        <v>104</v>
      </c>
      <c r="C61" s="35" t="s">
        <v>275</v>
      </c>
      <c r="D61" s="36" t="s">
        <v>150</v>
      </c>
      <c r="E61" s="36" t="s">
        <v>137</v>
      </c>
      <c r="F61" s="34" t="s">
        <v>218</v>
      </c>
      <c r="G61" s="33" t="s">
        <v>270</v>
      </c>
      <c r="H61" s="34" t="s">
        <v>276</v>
      </c>
    </row>
    <row r="62" customFormat="false" ht="33.75" hidden="false" customHeight="true" outlineLevel="0" collapsed="false">
      <c r="A62" s="33" t="s">
        <v>268</v>
      </c>
      <c r="B62" s="34" t="s">
        <v>104</v>
      </c>
      <c r="C62" s="35" t="s">
        <v>277</v>
      </c>
      <c r="D62" s="36" t="s">
        <v>167</v>
      </c>
      <c r="E62" s="36" t="s">
        <v>137</v>
      </c>
      <c r="F62" s="34" t="s">
        <v>218</v>
      </c>
      <c r="G62" s="33" t="s">
        <v>273</v>
      </c>
      <c r="H62" s="34" t="s">
        <v>278</v>
      </c>
    </row>
    <row r="63" customFormat="false" ht="33.75" hidden="false" customHeight="true" outlineLevel="0" collapsed="false">
      <c r="A63" s="33" t="s">
        <v>268</v>
      </c>
      <c r="B63" s="34" t="s">
        <v>104</v>
      </c>
      <c r="C63" s="35" t="s">
        <v>279</v>
      </c>
      <c r="D63" s="36" t="s">
        <v>150</v>
      </c>
      <c r="E63" s="36" t="s">
        <v>137</v>
      </c>
      <c r="F63" s="34" t="s">
        <v>218</v>
      </c>
      <c r="G63" s="33" t="s">
        <v>280</v>
      </c>
      <c r="H63" s="34" t="s">
        <v>281</v>
      </c>
    </row>
    <row r="64" customFormat="false" ht="33.75" hidden="false" customHeight="true" outlineLevel="0" collapsed="false">
      <c r="A64" s="33" t="s">
        <v>268</v>
      </c>
      <c r="B64" s="34" t="s">
        <v>104</v>
      </c>
      <c r="C64" s="35" t="s">
        <v>282</v>
      </c>
      <c r="D64" s="36" t="s">
        <v>167</v>
      </c>
      <c r="E64" s="36" t="s">
        <v>137</v>
      </c>
      <c r="F64" s="34" t="s">
        <v>218</v>
      </c>
      <c r="G64" s="33" t="s">
        <v>283</v>
      </c>
      <c r="H64" s="34" t="s">
        <v>284</v>
      </c>
    </row>
    <row r="65" customFormat="false" ht="33.75" hidden="false" customHeight="true" outlineLevel="0" collapsed="false">
      <c r="A65" s="33" t="s">
        <v>268</v>
      </c>
      <c r="B65" s="34" t="s">
        <v>104</v>
      </c>
      <c r="C65" s="35" t="s">
        <v>285</v>
      </c>
      <c r="D65" s="36" t="s">
        <v>167</v>
      </c>
      <c r="E65" s="36" t="s">
        <v>137</v>
      </c>
      <c r="F65" s="34" t="s">
        <v>218</v>
      </c>
      <c r="G65" s="33" t="s">
        <v>286</v>
      </c>
      <c r="H65" s="34" t="s">
        <v>200</v>
      </c>
    </row>
    <row r="66" customFormat="false" ht="33.75" hidden="false" customHeight="true" outlineLevel="0" collapsed="false">
      <c r="A66" s="37" t="s">
        <v>268</v>
      </c>
      <c r="B66" s="38" t="s">
        <v>104</v>
      </c>
      <c r="C66" s="38" t="s">
        <v>287</v>
      </c>
      <c r="D66" s="40" t="s">
        <v>167</v>
      </c>
      <c r="E66" s="40" t="s">
        <v>137</v>
      </c>
      <c r="F66" s="38" t="s">
        <v>218</v>
      </c>
      <c r="G66" s="37" t="s">
        <v>280</v>
      </c>
      <c r="H66" s="38"/>
    </row>
    <row r="67" customFormat="false" ht="33.75" hidden="false" customHeight="true" outlineLevel="0" collapsed="false">
      <c r="A67" s="47" t="s">
        <v>268</v>
      </c>
      <c r="B67" s="48" t="s">
        <v>104</v>
      </c>
      <c r="C67" s="48" t="s">
        <v>288</v>
      </c>
      <c r="D67" s="49" t="s">
        <v>150</v>
      </c>
      <c r="E67" s="49" t="s">
        <v>137</v>
      </c>
      <c r="F67" s="48" t="s">
        <v>218</v>
      </c>
      <c r="G67" s="47" t="s">
        <v>283</v>
      </c>
      <c r="H67" s="48" t="s">
        <v>289</v>
      </c>
    </row>
    <row r="68" customFormat="false" ht="33.75" hidden="false" customHeight="true" outlineLevel="0" collapsed="false">
      <c r="A68" s="37" t="s">
        <v>268</v>
      </c>
      <c r="B68" s="38" t="s">
        <v>104</v>
      </c>
      <c r="C68" s="39" t="s">
        <v>290</v>
      </c>
      <c r="D68" s="40" t="s">
        <v>167</v>
      </c>
      <c r="E68" s="40" t="s">
        <v>137</v>
      </c>
      <c r="F68" s="38" t="s">
        <v>218</v>
      </c>
      <c r="G68" s="37" t="s">
        <v>286</v>
      </c>
      <c r="H68" s="39" t="s">
        <v>291</v>
      </c>
    </row>
    <row r="69" customFormat="false" ht="33.75" hidden="false" customHeight="true" outlineLevel="0" collapsed="false">
      <c r="A69" s="37" t="s">
        <v>268</v>
      </c>
      <c r="B69" s="38" t="s">
        <v>104</v>
      </c>
      <c r="C69" s="38" t="s">
        <v>292</v>
      </c>
      <c r="D69" s="40" t="s">
        <v>150</v>
      </c>
      <c r="E69" s="40" t="s">
        <v>137</v>
      </c>
      <c r="F69" s="41" t="s">
        <v>151</v>
      </c>
      <c r="G69" s="37" t="s">
        <v>293</v>
      </c>
      <c r="H69" s="38"/>
    </row>
    <row r="70" customFormat="false" ht="33.75" hidden="false" customHeight="true" outlineLevel="0" collapsed="false">
      <c r="A70" s="37" t="s">
        <v>268</v>
      </c>
      <c r="B70" s="38" t="s">
        <v>104</v>
      </c>
      <c r="C70" s="38" t="s">
        <v>294</v>
      </c>
      <c r="D70" s="40" t="s">
        <v>232</v>
      </c>
      <c r="E70" s="40" t="s">
        <v>137</v>
      </c>
      <c r="F70" s="38" t="s">
        <v>218</v>
      </c>
      <c r="G70" s="37" t="s">
        <v>293</v>
      </c>
      <c r="H70" s="38"/>
    </row>
    <row r="71" customFormat="false" ht="33.75" hidden="false" customHeight="true" outlineLevel="0" collapsed="false">
      <c r="A71" s="33" t="s">
        <v>268</v>
      </c>
      <c r="B71" s="34" t="s">
        <v>104</v>
      </c>
      <c r="C71" s="34" t="s">
        <v>295</v>
      </c>
      <c r="D71" s="36" t="s">
        <v>150</v>
      </c>
      <c r="E71" s="36" t="s">
        <v>137</v>
      </c>
      <c r="F71" s="34" t="s">
        <v>218</v>
      </c>
      <c r="G71" s="33" t="s">
        <v>286</v>
      </c>
      <c r="H71" s="35" t="s">
        <v>296</v>
      </c>
    </row>
    <row r="72" customFormat="false" ht="33.75" hidden="false" customHeight="true" outlineLevel="0" collapsed="false">
      <c r="A72" s="33" t="s">
        <v>268</v>
      </c>
      <c r="B72" s="34" t="s">
        <v>104</v>
      </c>
      <c r="C72" s="34" t="s">
        <v>297</v>
      </c>
      <c r="D72" s="36" t="s">
        <v>167</v>
      </c>
      <c r="E72" s="36" t="s">
        <v>137</v>
      </c>
      <c r="F72" s="34" t="s">
        <v>218</v>
      </c>
      <c r="G72" s="33" t="s">
        <v>286</v>
      </c>
      <c r="H72" s="35" t="s">
        <v>298</v>
      </c>
    </row>
    <row r="73" customFormat="false" ht="33.75" hidden="false" customHeight="true" outlineLevel="0" collapsed="false">
      <c r="A73" s="43" t="s">
        <v>268</v>
      </c>
      <c r="B73" s="44" t="s">
        <v>104</v>
      </c>
      <c r="C73" s="45" t="s">
        <v>299</v>
      </c>
      <c r="D73" s="46" t="s">
        <v>150</v>
      </c>
      <c r="E73" s="46" t="s">
        <v>137</v>
      </c>
      <c r="F73" s="44" t="s">
        <v>204</v>
      </c>
      <c r="G73" s="43" t="s">
        <v>300</v>
      </c>
      <c r="H73" s="44" t="s">
        <v>206</v>
      </c>
    </row>
    <row r="74" customFormat="false" ht="33.75" hidden="false" customHeight="true" outlineLevel="0" collapsed="false">
      <c r="A74" s="37" t="s">
        <v>301</v>
      </c>
      <c r="B74" s="38" t="s">
        <v>106</v>
      </c>
      <c r="C74" s="38" t="s">
        <v>302</v>
      </c>
      <c r="D74" s="40" t="s">
        <v>167</v>
      </c>
      <c r="E74" s="40" t="s">
        <v>137</v>
      </c>
      <c r="F74" s="38" t="s">
        <v>218</v>
      </c>
      <c r="G74" s="37" t="s">
        <v>303</v>
      </c>
      <c r="H74" s="38"/>
    </row>
    <row r="75" customFormat="false" ht="33.75" hidden="false" customHeight="true" outlineLevel="0" collapsed="false">
      <c r="A75" s="37" t="s">
        <v>301</v>
      </c>
      <c r="B75" s="38" t="s">
        <v>106</v>
      </c>
      <c r="C75" s="38" t="s">
        <v>304</v>
      </c>
      <c r="D75" s="40" t="s">
        <v>232</v>
      </c>
      <c r="E75" s="40" t="s">
        <v>137</v>
      </c>
      <c r="F75" s="38" t="s">
        <v>218</v>
      </c>
      <c r="G75" s="37" t="s">
        <v>303</v>
      </c>
      <c r="H75" s="39" t="s">
        <v>305</v>
      </c>
    </row>
    <row r="76" customFormat="false" ht="33.75" hidden="false" customHeight="true" outlineLevel="0" collapsed="false">
      <c r="A76" s="37" t="s">
        <v>301</v>
      </c>
      <c r="B76" s="38" t="s">
        <v>106</v>
      </c>
      <c r="C76" s="39" t="s">
        <v>306</v>
      </c>
      <c r="D76" s="40" t="s">
        <v>232</v>
      </c>
      <c r="E76" s="40" t="s">
        <v>137</v>
      </c>
      <c r="F76" s="38" t="s">
        <v>218</v>
      </c>
      <c r="G76" s="37" t="s">
        <v>307</v>
      </c>
      <c r="H76" s="39" t="s">
        <v>308</v>
      </c>
    </row>
    <row r="77" customFormat="false" ht="33.75" hidden="false" customHeight="true" outlineLevel="0" collapsed="false">
      <c r="A77" s="33" t="s">
        <v>301</v>
      </c>
      <c r="B77" s="34" t="s">
        <v>309</v>
      </c>
      <c r="C77" s="34" t="s">
        <v>310</v>
      </c>
      <c r="D77" s="36" t="s">
        <v>150</v>
      </c>
      <c r="E77" s="36" t="s">
        <v>137</v>
      </c>
      <c r="F77" s="34" t="s">
        <v>218</v>
      </c>
      <c r="G77" s="33" t="s">
        <v>262</v>
      </c>
      <c r="H77" s="34" t="s">
        <v>311</v>
      </c>
    </row>
    <row r="78" customFormat="false" ht="33.75" hidden="false" customHeight="true" outlineLevel="0" collapsed="false">
      <c r="A78" s="37" t="s">
        <v>301</v>
      </c>
      <c r="B78" s="38" t="s">
        <v>309</v>
      </c>
      <c r="C78" s="38" t="s">
        <v>312</v>
      </c>
      <c r="D78" s="40" t="s">
        <v>150</v>
      </c>
      <c r="E78" s="40" t="s">
        <v>137</v>
      </c>
      <c r="F78" s="41" t="s">
        <v>151</v>
      </c>
      <c r="G78" s="37" t="s">
        <v>313</v>
      </c>
      <c r="H78" s="38"/>
    </row>
    <row r="79" customFormat="false" ht="33.75" hidden="false" customHeight="true" outlineLevel="0" collapsed="false">
      <c r="A79" s="37" t="s">
        <v>301</v>
      </c>
      <c r="B79" s="38" t="s">
        <v>309</v>
      </c>
      <c r="C79" s="38" t="s">
        <v>314</v>
      </c>
      <c r="D79" s="40" t="s">
        <v>167</v>
      </c>
      <c r="E79" s="40" t="s">
        <v>137</v>
      </c>
      <c r="F79" s="38" t="s">
        <v>218</v>
      </c>
      <c r="G79" s="37" t="s">
        <v>313</v>
      </c>
      <c r="H79" s="38"/>
    </row>
    <row r="80" customFormat="false" ht="33.75" hidden="false" customHeight="true" outlineLevel="0" collapsed="false">
      <c r="A80" s="33" t="s">
        <v>301</v>
      </c>
      <c r="B80" s="34" t="s">
        <v>309</v>
      </c>
      <c r="C80" s="35" t="s">
        <v>315</v>
      </c>
      <c r="D80" s="36" t="s">
        <v>167</v>
      </c>
      <c r="E80" s="36" t="s">
        <v>137</v>
      </c>
      <c r="F80" s="34" t="s">
        <v>218</v>
      </c>
      <c r="G80" s="33" t="s">
        <v>300</v>
      </c>
      <c r="H80" s="34" t="s">
        <v>200</v>
      </c>
    </row>
    <row r="81" customFormat="false" ht="33.75" hidden="false" customHeight="true" outlineLevel="0" collapsed="false">
      <c r="A81" s="37" t="s">
        <v>301</v>
      </c>
      <c r="B81" s="38" t="s">
        <v>309</v>
      </c>
      <c r="C81" s="38" t="s">
        <v>316</v>
      </c>
      <c r="D81" s="40" t="s">
        <v>167</v>
      </c>
      <c r="E81" s="40" t="s">
        <v>137</v>
      </c>
      <c r="F81" s="38" t="s">
        <v>218</v>
      </c>
      <c r="G81" s="37" t="s">
        <v>317</v>
      </c>
      <c r="H81" s="38" t="s">
        <v>318</v>
      </c>
    </row>
    <row r="82" customFormat="false" ht="33.75" hidden="false" customHeight="true" outlineLevel="0" collapsed="false">
      <c r="A82" s="37" t="s">
        <v>301</v>
      </c>
      <c r="B82" s="38" t="s">
        <v>309</v>
      </c>
      <c r="C82" s="38" t="s">
        <v>319</v>
      </c>
      <c r="D82" s="40" t="s">
        <v>232</v>
      </c>
      <c r="E82" s="40" t="s">
        <v>137</v>
      </c>
      <c r="F82" s="38" t="s">
        <v>218</v>
      </c>
      <c r="G82" s="37" t="s">
        <v>317</v>
      </c>
      <c r="H82" s="38"/>
    </row>
    <row r="83" customFormat="false" ht="33.75" hidden="false" customHeight="true" outlineLevel="0" collapsed="false">
      <c r="A83" s="47" t="s">
        <v>301</v>
      </c>
      <c r="B83" s="48" t="s">
        <v>309</v>
      </c>
      <c r="C83" s="48" t="s">
        <v>320</v>
      </c>
      <c r="D83" s="49" t="s">
        <v>232</v>
      </c>
      <c r="E83" s="49" t="s">
        <v>137</v>
      </c>
      <c r="F83" s="50" t="s">
        <v>151</v>
      </c>
      <c r="G83" s="47" t="s">
        <v>317</v>
      </c>
      <c r="H83" s="48" t="s">
        <v>289</v>
      </c>
    </row>
    <row r="84" customFormat="false" ht="33.75" hidden="false" customHeight="true" outlineLevel="0" collapsed="false">
      <c r="A84" s="43" t="s">
        <v>301</v>
      </c>
      <c r="B84" s="44" t="s">
        <v>309</v>
      </c>
      <c r="C84" s="45" t="s">
        <v>321</v>
      </c>
      <c r="D84" s="46" t="s">
        <v>150</v>
      </c>
      <c r="E84" s="46" t="s">
        <v>137</v>
      </c>
      <c r="F84" s="44" t="s">
        <v>204</v>
      </c>
      <c r="G84" s="43" t="s">
        <v>317</v>
      </c>
      <c r="H84" s="44" t="s">
        <v>206</v>
      </c>
    </row>
    <row r="85" customFormat="false" ht="33.75" hidden="false" customHeight="true" outlineLevel="0" collapsed="false">
      <c r="A85" s="33" t="s">
        <v>322</v>
      </c>
      <c r="B85" s="34" t="s">
        <v>110</v>
      </c>
      <c r="C85" s="34" t="s">
        <v>323</v>
      </c>
      <c r="D85" s="36" t="s">
        <v>150</v>
      </c>
      <c r="E85" s="36" t="s">
        <v>137</v>
      </c>
      <c r="F85" s="42" t="s">
        <v>151</v>
      </c>
      <c r="G85" s="33" t="s">
        <v>313</v>
      </c>
      <c r="H85" s="34" t="s">
        <v>324</v>
      </c>
    </row>
    <row r="86" customFormat="false" ht="33.75" hidden="false" customHeight="true" outlineLevel="0" collapsed="false">
      <c r="A86" s="33" t="s">
        <v>322</v>
      </c>
      <c r="B86" s="34" t="s">
        <v>110</v>
      </c>
      <c r="C86" s="34" t="s">
        <v>325</v>
      </c>
      <c r="D86" s="36" t="s">
        <v>150</v>
      </c>
      <c r="E86" s="36" t="s">
        <v>137</v>
      </c>
      <c r="F86" s="34" t="s">
        <v>218</v>
      </c>
      <c r="G86" s="33" t="s">
        <v>313</v>
      </c>
      <c r="H86" s="34" t="s">
        <v>200</v>
      </c>
    </row>
    <row r="87" customFormat="false" ht="33.75" hidden="false" customHeight="true" outlineLevel="0" collapsed="false">
      <c r="A87" s="33" t="s">
        <v>322</v>
      </c>
      <c r="B87" s="34" t="s">
        <v>116</v>
      </c>
      <c r="C87" s="34" t="s">
        <v>326</v>
      </c>
      <c r="D87" s="36" t="s">
        <v>167</v>
      </c>
      <c r="E87" s="36" t="s">
        <v>137</v>
      </c>
      <c r="F87" s="42" t="s">
        <v>151</v>
      </c>
      <c r="G87" s="33" t="s">
        <v>262</v>
      </c>
      <c r="H87" s="34" t="s">
        <v>327</v>
      </c>
    </row>
    <row r="88" customFormat="false" ht="33.75" hidden="false" customHeight="true" outlineLevel="0" collapsed="false">
      <c r="A88" s="33" t="s">
        <v>322</v>
      </c>
      <c r="B88" s="34" t="s">
        <v>112</v>
      </c>
      <c r="C88" s="35" t="s">
        <v>328</v>
      </c>
      <c r="D88" s="36" t="s">
        <v>167</v>
      </c>
      <c r="E88" s="36" t="s">
        <v>137</v>
      </c>
      <c r="F88" s="34" t="s">
        <v>218</v>
      </c>
      <c r="G88" s="33" t="s">
        <v>329</v>
      </c>
      <c r="H88" s="34" t="s">
        <v>330</v>
      </c>
    </row>
    <row r="89" customFormat="false" ht="33.75" hidden="false" customHeight="true" outlineLevel="0" collapsed="false">
      <c r="A89" s="37" t="s">
        <v>322</v>
      </c>
      <c r="B89" s="38" t="s">
        <v>110</v>
      </c>
      <c r="C89" s="38" t="s">
        <v>331</v>
      </c>
      <c r="D89" s="40" t="s">
        <v>150</v>
      </c>
      <c r="E89" s="40" t="s">
        <v>137</v>
      </c>
      <c r="F89" s="41" t="s">
        <v>151</v>
      </c>
      <c r="G89" s="37" t="s">
        <v>329</v>
      </c>
      <c r="H89" s="38"/>
    </row>
    <row r="90" customFormat="false" ht="33.75" hidden="false" customHeight="true" outlineLevel="0" collapsed="false">
      <c r="A90" s="37" t="s">
        <v>322</v>
      </c>
      <c r="B90" s="38" t="s">
        <v>110</v>
      </c>
      <c r="C90" s="39" t="s">
        <v>332</v>
      </c>
      <c r="D90" s="40" t="s">
        <v>150</v>
      </c>
      <c r="E90" s="40" t="s">
        <v>137</v>
      </c>
      <c r="F90" s="38" t="s">
        <v>218</v>
      </c>
      <c r="G90" s="37" t="s">
        <v>329</v>
      </c>
      <c r="H90" s="38"/>
    </row>
    <row r="91" customFormat="false" ht="33.75" hidden="false" customHeight="true" outlineLevel="0" collapsed="false">
      <c r="A91" s="37" t="s">
        <v>322</v>
      </c>
      <c r="B91" s="38" t="s">
        <v>110</v>
      </c>
      <c r="C91" s="39" t="s">
        <v>333</v>
      </c>
      <c r="D91" s="40" t="s">
        <v>167</v>
      </c>
      <c r="E91" s="40" t="s">
        <v>137</v>
      </c>
      <c r="F91" s="38" t="s">
        <v>218</v>
      </c>
      <c r="G91" s="37" t="s">
        <v>329</v>
      </c>
      <c r="H91" s="38"/>
    </row>
    <row r="92" customFormat="false" ht="33.75" hidden="false" customHeight="true" outlineLevel="0" collapsed="false">
      <c r="A92" s="37" t="s">
        <v>322</v>
      </c>
      <c r="B92" s="38" t="s">
        <v>110</v>
      </c>
      <c r="C92" s="39" t="s">
        <v>334</v>
      </c>
      <c r="D92" s="40" t="s">
        <v>167</v>
      </c>
      <c r="E92" s="40" t="s">
        <v>137</v>
      </c>
      <c r="F92" s="38" t="s">
        <v>218</v>
      </c>
      <c r="G92" s="37" t="s">
        <v>329</v>
      </c>
      <c r="H92" s="39" t="s">
        <v>335</v>
      </c>
    </row>
    <row r="93" customFormat="false" ht="33.75" hidden="false" customHeight="true" outlineLevel="0" collapsed="false">
      <c r="A93" s="37" t="s">
        <v>322</v>
      </c>
      <c r="B93" s="38" t="s">
        <v>110</v>
      </c>
      <c r="C93" s="38" t="s">
        <v>336</v>
      </c>
      <c r="D93" s="40" t="s">
        <v>150</v>
      </c>
      <c r="E93" s="40" t="s">
        <v>137</v>
      </c>
      <c r="F93" s="38" t="s">
        <v>218</v>
      </c>
      <c r="G93" s="37" t="s">
        <v>329</v>
      </c>
      <c r="H93" s="38"/>
    </row>
    <row r="94" customFormat="false" ht="33.75" hidden="false" customHeight="true" outlineLevel="0" collapsed="false">
      <c r="A94" s="37" t="s">
        <v>322</v>
      </c>
      <c r="B94" s="38" t="s">
        <v>110</v>
      </c>
      <c r="C94" s="38" t="s">
        <v>337</v>
      </c>
      <c r="D94" s="40" t="s">
        <v>167</v>
      </c>
      <c r="E94" s="40" t="s">
        <v>137</v>
      </c>
      <c r="F94" s="38" t="s">
        <v>218</v>
      </c>
      <c r="G94" s="37" t="s">
        <v>338</v>
      </c>
      <c r="H94" s="38"/>
    </row>
    <row r="95" customFormat="false" ht="33.75" hidden="false" customHeight="true" outlineLevel="0" collapsed="false">
      <c r="A95" s="37" t="s">
        <v>322</v>
      </c>
      <c r="B95" s="38" t="s">
        <v>112</v>
      </c>
      <c r="C95" s="38" t="s">
        <v>339</v>
      </c>
      <c r="D95" s="40" t="s">
        <v>167</v>
      </c>
      <c r="E95" s="40" t="s">
        <v>137</v>
      </c>
      <c r="F95" s="38" t="s">
        <v>218</v>
      </c>
      <c r="G95" s="37" t="s">
        <v>338</v>
      </c>
      <c r="H95" s="38"/>
    </row>
    <row r="96" customFormat="false" ht="33.75" hidden="false" customHeight="true" outlineLevel="0" collapsed="false">
      <c r="A96" s="37" t="s">
        <v>322</v>
      </c>
      <c r="B96" s="38" t="s">
        <v>112</v>
      </c>
      <c r="C96" s="38" t="s">
        <v>340</v>
      </c>
      <c r="D96" s="40" t="s">
        <v>232</v>
      </c>
      <c r="E96" s="40" t="s">
        <v>137</v>
      </c>
      <c r="F96" s="41" t="s">
        <v>151</v>
      </c>
      <c r="G96" s="37" t="s">
        <v>338</v>
      </c>
      <c r="H96" s="38"/>
    </row>
    <row r="97" customFormat="false" ht="33.75" hidden="false" customHeight="true" outlineLevel="0" collapsed="false">
      <c r="A97" s="33" t="s">
        <v>322</v>
      </c>
      <c r="B97" s="34" t="s">
        <v>112</v>
      </c>
      <c r="C97" s="34" t="s">
        <v>341</v>
      </c>
      <c r="D97" s="36" t="s">
        <v>167</v>
      </c>
      <c r="E97" s="36" t="s">
        <v>137</v>
      </c>
      <c r="F97" s="34" t="s">
        <v>218</v>
      </c>
      <c r="G97" s="33" t="s">
        <v>235</v>
      </c>
      <c r="H97" s="34" t="s">
        <v>342</v>
      </c>
    </row>
    <row r="98" customFormat="false" ht="33.75" hidden="false" customHeight="true" outlineLevel="0" collapsed="false">
      <c r="A98" s="37" t="s">
        <v>322</v>
      </c>
      <c r="B98" s="38" t="s">
        <v>343</v>
      </c>
      <c r="C98" s="39" t="s">
        <v>344</v>
      </c>
      <c r="D98" s="40" t="s">
        <v>150</v>
      </c>
      <c r="E98" s="40" t="s">
        <v>137</v>
      </c>
      <c r="F98" s="41" t="s">
        <v>151</v>
      </c>
      <c r="G98" s="37" t="s">
        <v>338</v>
      </c>
      <c r="H98" s="39" t="s">
        <v>345</v>
      </c>
    </row>
    <row r="99" customFormat="false" ht="33.75" hidden="false" customHeight="true" outlineLevel="0" collapsed="false">
      <c r="A99" s="33" t="s">
        <v>322</v>
      </c>
      <c r="B99" s="34" t="s">
        <v>110</v>
      </c>
      <c r="C99" s="34" t="s">
        <v>346</v>
      </c>
      <c r="D99" s="36" t="s">
        <v>167</v>
      </c>
      <c r="E99" s="36" t="s">
        <v>137</v>
      </c>
      <c r="F99" s="34" t="s">
        <v>218</v>
      </c>
      <c r="G99" s="33" t="s">
        <v>329</v>
      </c>
      <c r="H99" s="35" t="s">
        <v>347</v>
      </c>
    </row>
    <row r="100" customFormat="false" ht="33.75" hidden="false" customHeight="true" outlineLevel="0" collapsed="false">
      <c r="A100" s="37" t="s">
        <v>322</v>
      </c>
      <c r="B100" s="38" t="s">
        <v>112</v>
      </c>
      <c r="C100" s="38" t="s">
        <v>348</v>
      </c>
      <c r="D100" s="40" t="s">
        <v>167</v>
      </c>
      <c r="E100" s="40" t="s">
        <v>137</v>
      </c>
      <c r="F100" s="38" t="s">
        <v>218</v>
      </c>
      <c r="G100" s="37" t="s">
        <v>235</v>
      </c>
      <c r="H100" s="38"/>
    </row>
    <row r="101" customFormat="false" ht="33.75" hidden="false" customHeight="true" outlineLevel="0" collapsed="false">
      <c r="A101" s="37" t="s">
        <v>322</v>
      </c>
      <c r="B101" s="38" t="s">
        <v>343</v>
      </c>
      <c r="C101" s="38" t="s">
        <v>349</v>
      </c>
      <c r="D101" s="40" t="s">
        <v>150</v>
      </c>
      <c r="E101" s="40" t="s">
        <v>137</v>
      </c>
      <c r="F101" s="38" t="s">
        <v>218</v>
      </c>
      <c r="G101" s="37" t="s">
        <v>338</v>
      </c>
      <c r="H101" s="38"/>
    </row>
    <row r="102" customFormat="false" ht="33.75" hidden="false" customHeight="true" outlineLevel="0" collapsed="false">
      <c r="A102" s="37" t="s">
        <v>322</v>
      </c>
      <c r="B102" s="38" t="s">
        <v>343</v>
      </c>
      <c r="C102" s="38" t="s">
        <v>350</v>
      </c>
      <c r="D102" s="40" t="s">
        <v>167</v>
      </c>
      <c r="E102" s="40" t="s">
        <v>137</v>
      </c>
      <c r="F102" s="38" t="s">
        <v>218</v>
      </c>
      <c r="G102" s="37" t="s">
        <v>338</v>
      </c>
      <c r="H102" s="38"/>
    </row>
    <row r="103" customFormat="false" ht="33.75" hidden="false" customHeight="true" outlineLevel="0" collapsed="false">
      <c r="A103" s="47" t="s">
        <v>322</v>
      </c>
      <c r="B103" s="48" t="s">
        <v>116</v>
      </c>
      <c r="C103" s="48" t="s">
        <v>351</v>
      </c>
      <c r="D103" s="49" t="s">
        <v>167</v>
      </c>
      <c r="E103" s="49" t="s">
        <v>137</v>
      </c>
      <c r="F103" s="50" t="s">
        <v>151</v>
      </c>
      <c r="G103" s="47" t="s">
        <v>235</v>
      </c>
      <c r="H103" s="48" t="s">
        <v>289</v>
      </c>
    </row>
    <row r="104" customFormat="false" ht="33.75" hidden="false" customHeight="true" outlineLevel="0" collapsed="false">
      <c r="A104" s="37" t="s">
        <v>322</v>
      </c>
      <c r="B104" s="38" t="s">
        <v>116</v>
      </c>
      <c r="C104" s="38" t="s">
        <v>352</v>
      </c>
      <c r="D104" s="40" t="s">
        <v>232</v>
      </c>
      <c r="E104" s="40" t="s">
        <v>137</v>
      </c>
      <c r="F104" s="41" t="s">
        <v>151</v>
      </c>
      <c r="G104" s="37" t="s">
        <v>235</v>
      </c>
      <c r="H104" s="38"/>
    </row>
    <row r="105" customFormat="false" ht="33.75" hidden="false" customHeight="true" outlineLevel="0" collapsed="false">
      <c r="A105" s="37" t="s">
        <v>322</v>
      </c>
      <c r="B105" s="38" t="s">
        <v>116</v>
      </c>
      <c r="C105" s="39" t="s">
        <v>353</v>
      </c>
      <c r="D105" s="40" t="s">
        <v>167</v>
      </c>
      <c r="E105" s="40" t="s">
        <v>137</v>
      </c>
      <c r="F105" s="38" t="s">
        <v>218</v>
      </c>
      <c r="G105" s="37" t="s">
        <v>235</v>
      </c>
      <c r="H105" s="38"/>
    </row>
    <row r="106" customFormat="false" ht="33.75" hidden="false" customHeight="true" outlineLevel="0" collapsed="false">
      <c r="A106" s="33" t="s">
        <v>322</v>
      </c>
      <c r="B106" s="34" t="s">
        <v>110</v>
      </c>
      <c r="C106" s="34" t="s">
        <v>354</v>
      </c>
      <c r="D106" s="36" t="s">
        <v>167</v>
      </c>
      <c r="E106" s="36" t="s">
        <v>137</v>
      </c>
      <c r="F106" s="34" t="s">
        <v>218</v>
      </c>
      <c r="G106" s="33" t="s">
        <v>338</v>
      </c>
      <c r="H106" s="35" t="s">
        <v>355</v>
      </c>
    </row>
    <row r="107" customFormat="false" ht="33.75" hidden="false" customHeight="true" outlineLevel="0" collapsed="false">
      <c r="A107" s="43" t="s">
        <v>322</v>
      </c>
      <c r="B107" s="44" t="s">
        <v>116</v>
      </c>
      <c r="C107" s="45" t="s">
        <v>356</v>
      </c>
      <c r="D107" s="46" t="s">
        <v>150</v>
      </c>
      <c r="E107" s="46" t="s">
        <v>137</v>
      </c>
      <c r="F107" s="44" t="s">
        <v>204</v>
      </c>
      <c r="G107" s="43" t="s">
        <v>235</v>
      </c>
      <c r="H107" s="44" t="s">
        <v>206</v>
      </c>
    </row>
    <row r="108" customFormat="false" ht="33.75" hidden="false" customHeight="true" outlineLevel="0" collapsed="false">
      <c r="A108" s="33" t="s">
        <v>357</v>
      </c>
      <c r="B108" s="34" t="s">
        <v>358</v>
      </c>
      <c r="C108" s="34" t="s">
        <v>359</v>
      </c>
      <c r="D108" s="36" t="s">
        <v>150</v>
      </c>
      <c r="E108" s="36" t="s">
        <v>137</v>
      </c>
      <c r="F108" s="34" t="s">
        <v>218</v>
      </c>
      <c r="G108" s="33" t="s">
        <v>360</v>
      </c>
      <c r="H108" s="35" t="s">
        <v>347</v>
      </c>
    </row>
    <row r="109" customFormat="false" ht="33.75" hidden="false" customHeight="true" outlineLevel="0" collapsed="false">
      <c r="A109" s="33" t="s">
        <v>357</v>
      </c>
      <c r="B109" s="34" t="s">
        <v>358</v>
      </c>
      <c r="C109" s="34" t="s">
        <v>361</v>
      </c>
      <c r="D109" s="36" t="s">
        <v>150</v>
      </c>
      <c r="E109" s="36" t="s">
        <v>137</v>
      </c>
      <c r="F109" s="34" t="s">
        <v>218</v>
      </c>
      <c r="G109" s="33" t="s">
        <v>360</v>
      </c>
      <c r="H109" s="35" t="s">
        <v>347</v>
      </c>
    </row>
    <row r="110" customFormat="false" ht="33.75" hidden="false" customHeight="true" outlineLevel="0" collapsed="false">
      <c r="A110" s="33" t="s">
        <v>357</v>
      </c>
      <c r="B110" s="34" t="s">
        <v>358</v>
      </c>
      <c r="C110" s="34" t="s">
        <v>362</v>
      </c>
      <c r="D110" s="36" t="s">
        <v>150</v>
      </c>
      <c r="E110" s="36" t="s">
        <v>137</v>
      </c>
      <c r="F110" s="34" t="s">
        <v>218</v>
      </c>
      <c r="G110" s="33" t="s">
        <v>360</v>
      </c>
      <c r="H110" s="35" t="s">
        <v>347</v>
      </c>
    </row>
    <row r="111" customFormat="false" ht="33.75" hidden="false" customHeight="true" outlineLevel="0" collapsed="false">
      <c r="A111" s="33" t="s">
        <v>357</v>
      </c>
      <c r="B111" s="34" t="s">
        <v>358</v>
      </c>
      <c r="C111" s="35" t="s">
        <v>363</v>
      </c>
      <c r="D111" s="36" t="s">
        <v>150</v>
      </c>
      <c r="E111" s="36" t="s">
        <v>137</v>
      </c>
      <c r="F111" s="34" t="s">
        <v>218</v>
      </c>
      <c r="G111" s="33" t="s">
        <v>360</v>
      </c>
      <c r="H111" s="35" t="s">
        <v>347</v>
      </c>
    </row>
    <row r="112" customFormat="false" ht="33.75" hidden="false" customHeight="true" outlineLevel="0" collapsed="false">
      <c r="A112" s="33" t="s">
        <v>357</v>
      </c>
      <c r="B112" s="34" t="s">
        <v>358</v>
      </c>
      <c r="C112" s="35" t="s">
        <v>364</v>
      </c>
      <c r="D112" s="36" t="s">
        <v>167</v>
      </c>
      <c r="E112" s="36" t="s">
        <v>137</v>
      </c>
      <c r="F112" s="34" t="s">
        <v>218</v>
      </c>
      <c r="G112" s="33" t="s">
        <v>365</v>
      </c>
      <c r="H112" s="35" t="s">
        <v>347</v>
      </c>
    </row>
    <row r="113" customFormat="false" ht="33.75" hidden="false" customHeight="true" outlineLevel="0" collapsed="false">
      <c r="A113" s="33" t="s">
        <v>357</v>
      </c>
      <c r="B113" s="34" t="s">
        <v>358</v>
      </c>
      <c r="C113" s="35" t="s">
        <v>366</v>
      </c>
      <c r="D113" s="36" t="s">
        <v>167</v>
      </c>
      <c r="E113" s="36" t="s">
        <v>137</v>
      </c>
      <c r="F113" s="42" t="s">
        <v>151</v>
      </c>
      <c r="G113" s="33" t="s">
        <v>360</v>
      </c>
      <c r="H113" s="35" t="s">
        <v>347</v>
      </c>
    </row>
    <row r="114" customFormat="false" ht="33.75" hidden="false" customHeight="true" outlineLevel="0" collapsed="false">
      <c r="A114" s="37" t="s">
        <v>230</v>
      </c>
      <c r="B114" s="38" t="s">
        <v>120</v>
      </c>
      <c r="C114" s="39" t="s">
        <v>367</v>
      </c>
      <c r="D114" s="40" t="s">
        <v>150</v>
      </c>
      <c r="E114" s="40" t="s">
        <v>137</v>
      </c>
      <c r="F114" s="38" t="s">
        <v>218</v>
      </c>
      <c r="G114" s="37" t="s">
        <v>360</v>
      </c>
      <c r="H114" s="38" t="s">
        <v>368</v>
      </c>
    </row>
    <row r="115" customFormat="false" ht="33.75" hidden="false" customHeight="true" outlineLevel="0" collapsed="false">
      <c r="A115" s="37" t="s">
        <v>230</v>
      </c>
      <c r="B115" s="38" t="s">
        <v>120</v>
      </c>
      <c r="C115" s="39" t="s">
        <v>369</v>
      </c>
      <c r="D115" s="40" t="s">
        <v>150</v>
      </c>
      <c r="E115" s="40" t="s">
        <v>137</v>
      </c>
      <c r="F115" s="38" t="s">
        <v>218</v>
      </c>
      <c r="G115" s="37" t="s">
        <v>365</v>
      </c>
      <c r="H115" s="38"/>
    </row>
    <row r="116" customFormat="false" ht="33.75" hidden="false" customHeight="true" outlineLevel="0" collapsed="false">
      <c r="A116" s="37" t="s">
        <v>230</v>
      </c>
      <c r="B116" s="38" t="s">
        <v>120</v>
      </c>
      <c r="C116" s="38" t="s">
        <v>370</v>
      </c>
      <c r="D116" s="40" t="s">
        <v>150</v>
      </c>
      <c r="E116" s="40" t="s">
        <v>137</v>
      </c>
      <c r="F116" s="38" t="s">
        <v>218</v>
      </c>
      <c r="G116" s="37" t="s">
        <v>365</v>
      </c>
      <c r="H116" s="38"/>
    </row>
    <row r="117" customFormat="false" ht="33.75" hidden="false" customHeight="true" outlineLevel="0" collapsed="false">
      <c r="A117" s="37" t="s">
        <v>230</v>
      </c>
      <c r="B117" s="38" t="s">
        <v>120</v>
      </c>
      <c r="C117" s="38" t="s">
        <v>371</v>
      </c>
      <c r="D117" s="40" t="s">
        <v>167</v>
      </c>
      <c r="E117" s="40" t="s">
        <v>137</v>
      </c>
      <c r="F117" s="41" t="s">
        <v>151</v>
      </c>
      <c r="G117" s="37" t="s">
        <v>235</v>
      </c>
      <c r="H117" s="39" t="s">
        <v>372</v>
      </c>
    </row>
    <row r="118" customFormat="false" ht="33.75" hidden="false" customHeight="true" outlineLevel="0" collapsed="false">
      <c r="A118" s="37" t="s">
        <v>230</v>
      </c>
      <c r="B118" s="38" t="s">
        <v>120</v>
      </c>
      <c r="C118" s="38" t="s">
        <v>373</v>
      </c>
      <c r="D118" s="40" t="s">
        <v>150</v>
      </c>
      <c r="E118" s="40" t="s">
        <v>137</v>
      </c>
      <c r="F118" s="38" t="s">
        <v>218</v>
      </c>
      <c r="G118" s="37" t="s">
        <v>365</v>
      </c>
      <c r="H118" s="38"/>
    </row>
    <row r="119" customFormat="false" ht="33.75" hidden="false" customHeight="true" outlineLevel="0" collapsed="false">
      <c r="A119" s="33" t="s">
        <v>230</v>
      </c>
      <c r="B119" s="34" t="s">
        <v>120</v>
      </c>
      <c r="C119" s="34" t="s">
        <v>374</v>
      </c>
      <c r="D119" s="36" t="s">
        <v>150</v>
      </c>
      <c r="E119" s="36" t="s">
        <v>137</v>
      </c>
      <c r="F119" s="42" t="s">
        <v>151</v>
      </c>
      <c r="G119" s="33" t="s">
        <v>360</v>
      </c>
      <c r="H119" s="34" t="s">
        <v>375</v>
      </c>
    </row>
    <row r="120" customFormat="false" ht="33.75" hidden="false" customHeight="true" outlineLevel="0" collapsed="false">
      <c r="A120" s="37" t="s">
        <v>230</v>
      </c>
      <c r="B120" s="38" t="s">
        <v>120</v>
      </c>
      <c r="C120" s="39" t="s">
        <v>376</v>
      </c>
      <c r="D120" s="40" t="s">
        <v>150</v>
      </c>
      <c r="E120" s="40" t="s">
        <v>137</v>
      </c>
      <c r="F120" s="41" t="s">
        <v>151</v>
      </c>
      <c r="G120" s="37" t="s">
        <v>365</v>
      </c>
      <c r="H120" s="38" t="s">
        <v>377</v>
      </c>
    </row>
    <row r="121" customFormat="false" ht="33.75" hidden="false" customHeight="true" outlineLevel="0" collapsed="false">
      <c r="A121" s="37" t="s">
        <v>230</v>
      </c>
      <c r="B121" s="38" t="s">
        <v>120</v>
      </c>
      <c r="C121" s="38" t="s">
        <v>378</v>
      </c>
      <c r="D121" s="40" t="s">
        <v>150</v>
      </c>
      <c r="E121" s="40" t="s">
        <v>137</v>
      </c>
      <c r="F121" s="38" t="s">
        <v>218</v>
      </c>
      <c r="G121" s="37" t="s">
        <v>379</v>
      </c>
      <c r="H121" s="38"/>
    </row>
    <row r="122" customFormat="false" ht="33.75" hidden="false" customHeight="true" outlineLevel="0" collapsed="false">
      <c r="A122" s="37" t="s">
        <v>230</v>
      </c>
      <c r="B122" s="38" t="s">
        <v>120</v>
      </c>
      <c r="C122" s="39" t="s">
        <v>380</v>
      </c>
      <c r="D122" s="40" t="s">
        <v>150</v>
      </c>
      <c r="E122" s="40" t="s">
        <v>137</v>
      </c>
      <c r="F122" s="41" t="s">
        <v>151</v>
      </c>
      <c r="G122" s="37" t="s">
        <v>379</v>
      </c>
      <c r="H122" s="38" t="s">
        <v>381</v>
      </c>
    </row>
    <row r="123" customFormat="false" ht="33.75" hidden="false" customHeight="true" outlineLevel="0" collapsed="false">
      <c r="A123" s="37" t="s">
        <v>230</v>
      </c>
      <c r="B123" s="38" t="s">
        <v>120</v>
      </c>
      <c r="C123" s="38" t="s">
        <v>382</v>
      </c>
      <c r="D123" s="40" t="s">
        <v>150</v>
      </c>
      <c r="E123" s="40" t="s">
        <v>137</v>
      </c>
      <c r="F123" s="38" t="s">
        <v>218</v>
      </c>
      <c r="G123" s="37" t="s">
        <v>379</v>
      </c>
      <c r="H123" s="38" t="s">
        <v>383</v>
      </c>
    </row>
    <row r="124" customFormat="false" ht="33.75" hidden="false" customHeight="true" outlineLevel="0" collapsed="false">
      <c r="A124" s="33" t="s">
        <v>230</v>
      </c>
      <c r="B124" s="34" t="s">
        <v>120</v>
      </c>
      <c r="C124" s="34" t="s">
        <v>384</v>
      </c>
      <c r="D124" s="36" t="s">
        <v>150</v>
      </c>
      <c r="E124" s="36" t="s">
        <v>137</v>
      </c>
      <c r="F124" s="34" t="s">
        <v>218</v>
      </c>
      <c r="G124" s="33" t="s">
        <v>379</v>
      </c>
      <c r="H124" s="34" t="s">
        <v>198</v>
      </c>
    </row>
    <row r="125" customFormat="false" ht="33.75" hidden="false" customHeight="true" outlineLevel="0" collapsed="false">
      <c r="A125" s="33" t="s">
        <v>385</v>
      </c>
      <c r="B125" s="34" t="s">
        <v>122</v>
      </c>
      <c r="C125" s="34" t="s">
        <v>386</v>
      </c>
      <c r="D125" s="36" t="s">
        <v>150</v>
      </c>
      <c r="E125" s="36" t="s">
        <v>137</v>
      </c>
      <c r="F125" s="34" t="s">
        <v>218</v>
      </c>
      <c r="G125" s="33" t="s">
        <v>387</v>
      </c>
      <c r="H125" s="34" t="s">
        <v>388</v>
      </c>
    </row>
    <row r="126" customFormat="false" ht="33.75" hidden="false" customHeight="true" outlineLevel="0" collapsed="false">
      <c r="A126" s="33" t="s">
        <v>385</v>
      </c>
      <c r="B126" s="34" t="s">
        <v>122</v>
      </c>
      <c r="C126" s="35" t="s">
        <v>389</v>
      </c>
      <c r="D126" s="36" t="s">
        <v>150</v>
      </c>
      <c r="E126" s="36" t="s">
        <v>137</v>
      </c>
      <c r="F126" s="34" t="s">
        <v>218</v>
      </c>
      <c r="G126" s="33" t="s">
        <v>387</v>
      </c>
      <c r="H126" s="34" t="s">
        <v>200</v>
      </c>
    </row>
    <row r="127" customFormat="false" ht="33.75" hidden="false" customHeight="true" outlineLevel="0" collapsed="false">
      <c r="A127" s="33" t="s">
        <v>385</v>
      </c>
      <c r="B127" s="34" t="s">
        <v>122</v>
      </c>
      <c r="C127" s="34" t="s">
        <v>390</v>
      </c>
      <c r="D127" s="36" t="s">
        <v>167</v>
      </c>
      <c r="E127" s="36" t="s">
        <v>137</v>
      </c>
      <c r="F127" s="34" t="s">
        <v>218</v>
      </c>
      <c r="G127" s="33" t="s">
        <v>387</v>
      </c>
      <c r="H127" s="34" t="s">
        <v>200</v>
      </c>
    </row>
    <row r="128" customFormat="false" ht="33.75" hidden="false" customHeight="true" outlineLevel="0" collapsed="false">
      <c r="A128" s="43" t="s">
        <v>385</v>
      </c>
      <c r="B128" s="44" t="s">
        <v>122</v>
      </c>
      <c r="C128" s="45" t="s">
        <v>391</v>
      </c>
      <c r="D128" s="46" t="s">
        <v>150</v>
      </c>
      <c r="E128" s="46" t="s">
        <v>137</v>
      </c>
      <c r="F128" s="44" t="s">
        <v>204</v>
      </c>
      <c r="G128" s="43" t="s">
        <v>387</v>
      </c>
      <c r="H128" s="44" t="s">
        <v>392</v>
      </c>
    </row>
  </sheetData>
  <mergeCells count="1">
    <mergeCell ref="A1:H1"/>
  </mergeCells>
  <conditionalFormatting sqref="E4:E128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"예정"</formula>
    </cfRule>
  </conditionalFormatting>
  <conditionalFormatting sqref="D4:D128">
    <cfRule type="cellIs" priority="5" operator="equal" aboveAverage="0" equalAverage="0" bottom="0" percent="0" rank="0" text="" dxfId="3">
      <formula>"최상"</formula>
    </cfRule>
  </conditionalFormatting>
  <dataValidations count="4">
    <dataValidation allowBlank="true" errorStyle="stop" operator="between" showDropDown="false" showErrorMessage="false" showInputMessage="false" sqref="E4:E128" type="list">
      <formula1>"예정,진행중,완료,보류"</formula1>
      <formula2>0</formula2>
    </dataValidation>
    <dataValidation allowBlank="true" errorStyle="stop" operator="between" showDropDown="false" showErrorMessage="false" showInputMessage="false" sqref="D4:D128" type="list">
      <formula1>"최상,상,중,하"</formula1>
      <formula2>0</formula2>
    </dataValidation>
    <dataValidation allowBlank="true" errorStyle="stop" operator="between" showDropDown="false" showErrorMessage="false" showInputMessage="false" sqref="B4:B128" type="list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allowBlank="true" errorStyle="stop" operator="between" showDropDown="false" showErrorMessage="false" showInputMessage="false" sqref="A4:A128" type="list">
      <formula1>"1,1.5,2,3,4,5,5.5,6,6.5"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48"/>
    <col collapsed="false" customWidth="true" hidden="false" outlineLevel="0" max="5" min="5" style="0" width="18"/>
  </cols>
  <sheetData>
    <row r="1" customFormat="false" ht="23.85" hidden="false" customHeight="false" outlineLevel="0" collapsed="false">
      <c r="A1" s="6" t="s">
        <v>393</v>
      </c>
      <c r="B1" s="6"/>
      <c r="C1" s="6"/>
    </row>
    <row r="3" customFormat="false" ht="17.15" hidden="false" customHeight="false" outlineLevel="0" collapsed="false">
      <c r="A3" s="2" t="s">
        <v>141</v>
      </c>
      <c r="B3" s="2" t="s">
        <v>394</v>
      </c>
      <c r="C3" s="2" t="s">
        <v>395</v>
      </c>
    </row>
    <row r="4" customFormat="false" ht="94.5" hidden="false" customHeight="true" outlineLevel="0" collapsed="false">
      <c r="A4" s="51" t="s">
        <v>396</v>
      </c>
      <c r="B4" s="52" t="s">
        <v>205</v>
      </c>
      <c r="C4" s="52" t="s">
        <v>397</v>
      </c>
    </row>
    <row r="5" customFormat="false" ht="94.5" hidden="false" customHeight="true" outlineLevel="0" collapsed="false">
      <c r="A5" s="51" t="s">
        <v>398</v>
      </c>
      <c r="B5" s="52" t="s">
        <v>213</v>
      </c>
      <c r="C5" s="52" t="s">
        <v>399</v>
      </c>
    </row>
    <row r="6" customFormat="false" ht="94.5" hidden="false" customHeight="true" outlineLevel="0" collapsed="false">
      <c r="A6" s="51" t="s">
        <v>400</v>
      </c>
      <c r="B6" s="52" t="s">
        <v>249</v>
      </c>
      <c r="C6" s="53" t="s">
        <v>401</v>
      </c>
    </row>
    <row r="7" customFormat="false" ht="94.5" hidden="false" customHeight="true" outlineLevel="0" collapsed="false">
      <c r="A7" s="51" t="s">
        <v>402</v>
      </c>
      <c r="B7" s="52" t="s">
        <v>403</v>
      </c>
      <c r="C7" s="53" t="s">
        <v>404</v>
      </c>
    </row>
    <row r="8" customFormat="false" ht="94.5" hidden="false" customHeight="true" outlineLevel="0" collapsed="false">
      <c r="A8" s="51" t="s">
        <v>405</v>
      </c>
      <c r="B8" s="52" t="s">
        <v>317</v>
      </c>
      <c r="C8" s="53" t="s">
        <v>406</v>
      </c>
    </row>
    <row r="9" customFormat="false" ht="94.5" hidden="false" customHeight="true" outlineLevel="0" collapsed="false">
      <c r="A9" s="51" t="s">
        <v>407</v>
      </c>
      <c r="B9" s="52" t="s">
        <v>235</v>
      </c>
      <c r="C9" s="53" t="s">
        <v>408</v>
      </c>
    </row>
    <row r="10" customFormat="false" ht="94.5" hidden="false" customHeight="true" outlineLevel="0" collapsed="false">
      <c r="A10" s="51" t="s">
        <v>409</v>
      </c>
      <c r="B10" s="52" t="s">
        <v>360</v>
      </c>
      <c r="C10" s="53" t="s">
        <v>410</v>
      </c>
    </row>
    <row r="11" customFormat="false" ht="94.5" hidden="false" customHeight="true" outlineLevel="0" collapsed="false">
      <c r="A11" s="51" t="s">
        <v>411</v>
      </c>
      <c r="B11" s="52" t="s">
        <v>379</v>
      </c>
      <c r="C11" s="53" t="s">
        <v>412</v>
      </c>
    </row>
    <row r="12" customFormat="false" ht="94.5" hidden="false" customHeight="true" outlineLevel="0" collapsed="false">
      <c r="A12" s="51" t="s">
        <v>413</v>
      </c>
      <c r="B12" s="52" t="s">
        <v>387</v>
      </c>
      <c r="C12" s="53" t="s">
        <v>414</v>
      </c>
    </row>
    <row r="15" customFormat="false" ht="17.35" hidden="false" customHeight="false" outlineLevel="0" collapsed="false">
      <c r="A15" s="54" t="s">
        <v>415</v>
      </c>
      <c r="B15" s="54"/>
      <c r="C15" s="54"/>
      <c r="D15" s="54"/>
      <c r="E15" s="54"/>
    </row>
    <row r="16" customFormat="false" ht="17.15" hidden="false" customHeight="false" outlineLevel="0" collapsed="false">
      <c r="A16" s="2" t="s">
        <v>146</v>
      </c>
      <c r="B16" s="2" t="s">
        <v>141</v>
      </c>
      <c r="C16" s="2" t="s">
        <v>416</v>
      </c>
      <c r="D16" s="2" t="s">
        <v>417</v>
      </c>
      <c r="E16" s="2" t="s">
        <v>3</v>
      </c>
    </row>
    <row r="17" customFormat="false" ht="31.5" hidden="false" customHeight="true" outlineLevel="0" collapsed="false">
      <c r="A17" s="55" t="s">
        <v>418</v>
      </c>
      <c r="B17" s="52" t="s">
        <v>419</v>
      </c>
      <c r="C17" s="56" t="s">
        <v>420</v>
      </c>
      <c r="D17" s="57" t="s">
        <v>421</v>
      </c>
      <c r="E17" s="58"/>
    </row>
    <row r="18" customFormat="false" ht="111.75" hidden="false" customHeight="true" outlineLevel="0" collapsed="false">
      <c r="A18" s="55" t="s">
        <v>422</v>
      </c>
      <c r="B18" s="52" t="s">
        <v>419</v>
      </c>
      <c r="C18" s="56" t="s">
        <v>423</v>
      </c>
      <c r="D18" s="57" t="s">
        <v>424</v>
      </c>
      <c r="E18" s="58"/>
    </row>
    <row r="19" customFormat="false" ht="111.75" hidden="false" customHeight="true" outlineLevel="0" collapsed="false">
      <c r="A19" s="55" t="s">
        <v>425</v>
      </c>
      <c r="B19" s="52" t="s">
        <v>419</v>
      </c>
      <c r="C19" s="56" t="s">
        <v>426</v>
      </c>
      <c r="D19" s="57" t="s">
        <v>427</v>
      </c>
      <c r="E19" s="58"/>
    </row>
    <row r="20" customFormat="false" ht="48" hidden="false" customHeight="true" outlineLevel="0" collapsed="false">
      <c r="A20" s="55" t="s">
        <v>428</v>
      </c>
      <c r="B20" s="52" t="s">
        <v>419</v>
      </c>
      <c r="C20" s="56" t="s">
        <v>429</v>
      </c>
      <c r="D20" s="57" t="s">
        <v>430</v>
      </c>
      <c r="E20" s="58"/>
    </row>
    <row r="21" customFormat="false" ht="19.5" hidden="false" customHeight="true" outlineLevel="0" collapsed="false">
      <c r="A21" s="55" t="s">
        <v>431</v>
      </c>
      <c r="B21" s="52" t="s">
        <v>419</v>
      </c>
      <c r="C21" s="56" t="s">
        <v>432</v>
      </c>
      <c r="D21" s="57" t="s">
        <v>433</v>
      </c>
      <c r="E21" s="58"/>
    </row>
    <row r="22" customFormat="false" ht="63.75" hidden="false" customHeight="true" outlineLevel="0" collapsed="false">
      <c r="A22" s="55" t="s">
        <v>434</v>
      </c>
      <c r="B22" s="52" t="s">
        <v>435</v>
      </c>
      <c r="C22" s="56" t="s">
        <v>436</v>
      </c>
      <c r="D22" s="57" t="s">
        <v>437</v>
      </c>
      <c r="E22" s="58"/>
    </row>
    <row r="23" customFormat="false" ht="48" hidden="false" customHeight="true" outlineLevel="0" collapsed="false">
      <c r="A23" s="59" t="s">
        <v>438</v>
      </c>
      <c r="B23" s="52" t="s">
        <v>439</v>
      </c>
      <c r="C23" s="56" t="s">
        <v>433</v>
      </c>
      <c r="D23" s="57" t="s">
        <v>440</v>
      </c>
      <c r="E23" s="60" t="s">
        <v>441</v>
      </c>
    </row>
    <row r="24" customFormat="false" ht="19.5" hidden="false" customHeight="true" outlineLevel="0" collapsed="false">
      <c r="A24" s="55" t="s">
        <v>442</v>
      </c>
      <c r="B24" s="52" t="s">
        <v>443</v>
      </c>
      <c r="C24" s="61" t="s">
        <v>444</v>
      </c>
      <c r="D24" s="57" t="s">
        <v>433</v>
      </c>
      <c r="E24" s="58"/>
    </row>
    <row r="25" customFormat="false" ht="31.5" hidden="false" customHeight="true" outlineLevel="0" collapsed="false">
      <c r="A25" s="59" t="s">
        <v>445</v>
      </c>
      <c r="B25" s="52" t="s">
        <v>439</v>
      </c>
      <c r="C25" s="56" t="s">
        <v>446</v>
      </c>
      <c r="D25" s="57" t="s">
        <v>447</v>
      </c>
      <c r="E25" s="60" t="s">
        <v>441</v>
      </c>
    </row>
    <row r="26" customFormat="false" ht="19.5" hidden="false" customHeight="true" outlineLevel="0" collapsed="false">
      <c r="A26" s="55" t="s">
        <v>448</v>
      </c>
      <c r="B26" s="52" t="s">
        <v>443</v>
      </c>
      <c r="C26" s="56" t="s">
        <v>449</v>
      </c>
      <c r="D26" s="57" t="s">
        <v>433</v>
      </c>
      <c r="E26" s="58"/>
    </row>
    <row r="27" customFormat="false" ht="19.5" hidden="false" customHeight="true" outlineLevel="0" collapsed="false">
      <c r="A27" s="59" t="s">
        <v>450</v>
      </c>
      <c r="B27" s="52" t="s">
        <v>443</v>
      </c>
      <c r="C27" s="56" t="s">
        <v>451</v>
      </c>
      <c r="D27" s="57" t="s">
        <v>433</v>
      </c>
      <c r="E27" s="60" t="s">
        <v>441</v>
      </c>
    </row>
    <row r="28" customFormat="false" ht="31.5" hidden="false" customHeight="true" outlineLevel="0" collapsed="false">
      <c r="A28" s="55" t="s">
        <v>452</v>
      </c>
      <c r="B28" s="52" t="s">
        <v>443</v>
      </c>
      <c r="C28" s="61" t="s">
        <v>453</v>
      </c>
      <c r="D28" s="57" t="s">
        <v>433</v>
      </c>
      <c r="E28" s="58"/>
    </row>
    <row r="29" customFormat="false" ht="31.5" hidden="false" customHeight="true" outlineLevel="0" collapsed="false">
      <c r="A29" s="59" t="s">
        <v>454</v>
      </c>
      <c r="B29" s="52" t="s">
        <v>443</v>
      </c>
      <c r="C29" s="56" t="s">
        <v>455</v>
      </c>
      <c r="D29" s="57" t="s">
        <v>456</v>
      </c>
      <c r="E29" s="60" t="s">
        <v>441</v>
      </c>
    </row>
    <row r="30" customFormat="false" ht="19.5" hidden="false" customHeight="true" outlineLevel="0" collapsed="false">
      <c r="A30" s="55" t="s">
        <v>457</v>
      </c>
      <c r="B30" s="52" t="s">
        <v>443</v>
      </c>
      <c r="C30" s="56" t="s">
        <v>458</v>
      </c>
      <c r="D30" s="62" t="s">
        <v>459</v>
      </c>
      <c r="E30" s="58"/>
    </row>
    <row r="31" customFormat="false" ht="31.5" hidden="false" customHeight="true" outlineLevel="0" collapsed="false">
      <c r="A31" s="55" t="s">
        <v>460</v>
      </c>
      <c r="B31" s="52" t="s">
        <v>461</v>
      </c>
      <c r="C31" s="61" t="s">
        <v>462</v>
      </c>
      <c r="D31" s="57" t="s">
        <v>433</v>
      </c>
      <c r="E31" s="58"/>
    </row>
    <row r="32" customFormat="false" ht="31.5" hidden="false" customHeight="true" outlineLevel="0" collapsed="false">
      <c r="A32" s="59" t="s">
        <v>463</v>
      </c>
      <c r="B32" s="52" t="s">
        <v>443</v>
      </c>
      <c r="C32" s="56" t="s">
        <v>464</v>
      </c>
      <c r="D32" s="57" t="s">
        <v>433</v>
      </c>
      <c r="E32" s="60" t="s">
        <v>441</v>
      </c>
    </row>
    <row r="33" customFormat="false" ht="19.5" hidden="false" customHeight="true" outlineLevel="0" collapsed="false">
      <c r="A33" s="55" t="s">
        <v>465</v>
      </c>
      <c r="B33" s="52" t="s">
        <v>461</v>
      </c>
      <c r="C33" s="56" t="s">
        <v>466</v>
      </c>
      <c r="D33" s="62" t="s">
        <v>467</v>
      </c>
      <c r="E33" s="58"/>
    </row>
    <row r="34" customFormat="false" ht="31.5" hidden="false" customHeight="true" outlineLevel="0" collapsed="false">
      <c r="A34" s="59" t="s">
        <v>468</v>
      </c>
      <c r="B34" s="52" t="s">
        <v>461</v>
      </c>
      <c r="C34" s="56" t="s">
        <v>469</v>
      </c>
      <c r="D34" s="57" t="s">
        <v>433</v>
      </c>
      <c r="E34" s="60" t="s">
        <v>441</v>
      </c>
    </row>
    <row r="35" customFormat="false" ht="31.5" hidden="false" customHeight="true" outlineLevel="0" collapsed="false">
      <c r="A35" s="55" t="s">
        <v>470</v>
      </c>
      <c r="B35" s="52" t="s">
        <v>461</v>
      </c>
      <c r="C35" s="56" t="s">
        <v>471</v>
      </c>
      <c r="D35" s="57" t="s">
        <v>433</v>
      </c>
      <c r="E35" s="58"/>
    </row>
    <row r="36" customFormat="false" ht="63.75" hidden="false" customHeight="true" outlineLevel="0" collapsed="false">
      <c r="A36" s="59" t="s">
        <v>472</v>
      </c>
      <c r="B36" s="52" t="s">
        <v>461</v>
      </c>
      <c r="C36" s="56" t="s">
        <v>473</v>
      </c>
      <c r="D36" s="57" t="s">
        <v>433</v>
      </c>
      <c r="E36" s="60" t="s">
        <v>441</v>
      </c>
    </row>
    <row r="37" customFormat="false" ht="19.5" hidden="false" customHeight="true" outlineLevel="0" collapsed="false">
      <c r="A37" s="55" t="s">
        <v>474</v>
      </c>
      <c r="B37" s="52" t="s">
        <v>461</v>
      </c>
      <c r="C37" s="61" t="s">
        <v>475</v>
      </c>
      <c r="D37" s="62" t="s">
        <v>476</v>
      </c>
      <c r="E37" s="58"/>
    </row>
    <row r="38" customFormat="false" ht="31.5" hidden="false" customHeight="true" outlineLevel="0" collapsed="false">
      <c r="A38" s="59" t="s">
        <v>477</v>
      </c>
      <c r="B38" s="52" t="s">
        <v>478</v>
      </c>
      <c r="C38" s="56" t="s">
        <v>479</v>
      </c>
      <c r="D38" s="57" t="s">
        <v>433</v>
      </c>
      <c r="E38" s="60" t="s">
        <v>441</v>
      </c>
    </row>
    <row r="39" customFormat="false" ht="31.5" hidden="false" customHeight="true" outlineLevel="0" collapsed="false">
      <c r="A39" s="55" t="s">
        <v>480</v>
      </c>
      <c r="B39" s="52" t="s">
        <v>481</v>
      </c>
      <c r="C39" s="61" t="s">
        <v>482</v>
      </c>
      <c r="D39" s="57" t="s">
        <v>433</v>
      </c>
      <c r="E39" s="58"/>
    </row>
    <row r="40" customFormat="false" ht="19.5" hidden="false" customHeight="true" outlineLevel="0" collapsed="false">
      <c r="A40" s="59" t="s">
        <v>483</v>
      </c>
      <c r="B40" s="52" t="s">
        <v>481</v>
      </c>
      <c r="C40" s="56" t="s">
        <v>484</v>
      </c>
      <c r="D40" s="57" t="s">
        <v>433</v>
      </c>
      <c r="E40" s="60" t="s">
        <v>441</v>
      </c>
    </row>
    <row r="41" customFormat="false" ht="48" hidden="false" customHeight="true" outlineLevel="0" collapsed="false">
      <c r="A41" s="55" t="s">
        <v>485</v>
      </c>
      <c r="B41" s="52" t="s">
        <v>486</v>
      </c>
      <c r="C41" s="56" t="s">
        <v>487</v>
      </c>
      <c r="D41" s="57" t="s">
        <v>488</v>
      </c>
      <c r="E41" s="58"/>
    </row>
    <row r="42" customFormat="false" ht="31.5" hidden="false" customHeight="true" outlineLevel="0" collapsed="false">
      <c r="A42" s="59" t="s">
        <v>489</v>
      </c>
      <c r="B42" s="52" t="s">
        <v>490</v>
      </c>
      <c r="C42" s="61" t="s">
        <v>491</v>
      </c>
      <c r="D42" s="62" t="s">
        <v>492</v>
      </c>
      <c r="E42" s="60" t="s">
        <v>441</v>
      </c>
    </row>
    <row r="43" customFormat="false" ht="48" hidden="false" customHeight="true" outlineLevel="0" collapsed="false">
      <c r="A43" s="55" t="s">
        <v>493</v>
      </c>
      <c r="B43" s="52" t="s">
        <v>481</v>
      </c>
      <c r="C43" s="61" t="s">
        <v>494</v>
      </c>
      <c r="D43" s="62" t="s">
        <v>495</v>
      </c>
      <c r="E43" s="58"/>
    </row>
    <row r="44" customFormat="false" ht="96" hidden="false" customHeight="true" outlineLevel="0" collapsed="false">
      <c r="A44" s="59" t="s">
        <v>496</v>
      </c>
      <c r="B44" s="52" t="s">
        <v>497</v>
      </c>
      <c r="C44" s="56" t="s">
        <v>498</v>
      </c>
      <c r="D44" s="62" t="s">
        <v>499</v>
      </c>
      <c r="E44" s="60" t="s">
        <v>441</v>
      </c>
    </row>
    <row r="45" customFormat="false" ht="79.5" hidden="false" customHeight="true" outlineLevel="0" collapsed="false">
      <c r="A45" s="55" t="s">
        <v>500</v>
      </c>
      <c r="B45" s="52" t="s">
        <v>497</v>
      </c>
      <c r="C45" s="61" t="s">
        <v>501</v>
      </c>
      <c r="D45" s="62" t="s">
        <v>502</v>
      </c>
      <c r="E45" s="58"/>
    </row>
    <row r="46" customFormat="false" ht="63.75" hidden="false" customHeight="true" outlineLevel="0" collapsed="false">
      <c r="A46" s="59" t="s">
        <v>503</v>
      </c>
      <c r="B46" s="52" t="s">
        <v>504</v>
      </c>
      <c r="C46" s="56" t="s">
        <v>505</v>
      </c>
      <c r="D46" s="57" t="s">
        <v>506</v>
      </c>
      <c r="E46" s="60" t="s">
        <v>441</v>
      </c>
    </row>
    <row r="47" customFormat="false" ht="79.5" hidden="false" customHeight="true" outlineLevel="0" collapsed="false">
      <c r="A47" s="55" t="s">
        <v>507</v>
      </c>
      <c r="B47" s="52" t="s">
        <v>508</v>
      </c>
      <c r="C47" s="56" t="s">
        <v>509</v>
      </c>
      <c r="D47" s="57" t="s">
        <v>510</v>
      </c>
      <c r="E47" s="58"/>
    </row>
    <row r="48" customFormat="false" ht="63.75" hidden="false" customHeight="true" outlineLevel="0" collapsed="false">
      <c r="A48" s="59" t="s">
        <v>511</v>
      </c>
      <c r="B48" s="52" t="s">
        <v>508</v>
      </c>
      <c r="C48" s="56" t="s">
        <v>512</v>
      </c>
      <c r="D48" s="57" t="s">
        <v>513</v>
      </c>
      <c r="E48" s="60" t="s">
        <v>441</v>
      </c>
    </row>
    <row r="49" customFormat="false" ht="48" hidden="false" customHeight="true" outlineLevel="0" collapsed="false">
      <c r="A49" s="55" t="s">
        <v>514</v>
      </c>
      <c r="B49" s="52" t="s">
        <v>515</v>
      </c>
      <c r="C49" s="61" t="s">
        <v>516</v>
      </c>
      <c r="D49" s="57" t="s">
        <v>517</v>
      </c>
      <c r="E49" s="58"/>
    </row>
    <row r="50" customFormat="false" ht="63.75" hidden="false" customHeight="true" outlineLevel="0" collapsed="false">
      <c r="A50" s="55" t="s">
        <v>518</v>
      </c>
      <c r="B50" s="52" t="s">
        <v>519</v>
      </c>
      <c r="C50" s="56" t="s">
        <v>520</v>
      </c>
      <c r="D50" s="57" t="s">
        <v>433</v>
      </c>
      <c r="E50" s="58"/>
    </row>
  </sheetData>
  <mergeCells count="2">
    <mergeCell ref="A1:C1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9" min="7" style="0" width="34"/>
    <col collapsed="false" customWidth="true" hidden="false" outlineLevel="0" max="10" min="10" style="0" width="32"/>
  </cols>
  <sheetData>
    <row r="1" customFormat="false" ht="23.85" hidden="false" customHeight="false" outlineLevel="0" collapsed="false">
      <c r="A1" s="6" t="s">
        <v>521</v>
      </c>
      <c r="B1" s="6"/>
      <c r="C1" s="6"/>
      <c r="D1" s="6"/>
      <c r="E1" s="6"/>
      <c r="F1" s="6"/>
      <c r="G1" s="6"/>
      <c r="H1" s="6"/>
      <c r="I1" s="6"/>
      <c r="J1" s="6"/>
    </row>
    <row r="3" customFormat="false" ht="17.15" hidden="false" customHeight="false" outlineLevel="0" collapsed="false">
      <c r="A3" s="2" t="s">
        <v>146</v>
      </c>
      <c r="B3" s="2" t="s">
        <v>141</v>
      </c>
      <c r="C3" s="2" t="s">
        <v>1</v>
      </c>
      <c r="D3" s="2" t="s">
        <v>92</v>
      </c>
      <c r="E3" s="2" t="s">
        <v>142</v>
      </c>
      <c r="F3" s="2" t="s">
        <v>522</v>
      </c>
      <c r="G3" s="2" t="s">
        <v>523</v>
      </c>
      <c r="H3" s="2" t="s">
        <v>524</v>
      </c>
      <c r="I3" s="2" t="s">
        <v>525</v>
      </c>
      <c r="J3" s="2" t="s">
        <v>526</v>
      </c>
    </row>
    <row r="4" customFormat="false" ht="39.75" hidden="false" customHeight="true" outlineLevel="0" collapsed="false">
      <c r="A4" s="63" t="s">
        <v>527</v>
      </c>
      <c r="B4" s="63" t="s">
        <v>528</v>
      </c>
      <c r="C4" s="64" t="s">
        <v>529</v>
      </c>
      <c r="D4" s="65" t="s">
        <v>530</v>
      </c>
      <c r="E4" s="66" t="s">
        <v>531</v>
      </c>
      <c r="F4" s="67" t="s">
        <v>532</v>
      </c>
      <c r="G4" s="66" t="s">
        <v>533</v>
      </c>
      <c r="H4" s="65" t="s">
        <v>534</v>
      </c>
      <c r="I4" s="66" t="s">
        <v>535</v>
      </c>
      <c r="J4" s="66" t="s">
        <v>536</v>
      </c>
    </row>
    <row r="5" customFormat="false" ht="39.75" hidden="false" customHeight="true" outlineLevel="0" collapsed="false">
      <c r="A5" s="63" t="s">
        <v>527</v>
      </c>
      <c r="B5" s="63" t="s">
        <v>528</v>
      </c>
      <c r="C5" s="64" t="s">
        <v>529</v>
      </c>
      <c r="D5" s="65" t="s">
        <v>530</v>
      </c>
      <c r="E5" s="66" t="s">
        <v>537</v>
      </c>
      <c r="F5" s="67" t="s">
        <v>538</v>
      </c>
      <c r="G5" s="66" t="s">
        <v>539</v>
      </c>
      <c r="H5" s="66" t="s">
        <v>540</v>
      </c>
      <c r="I5" s="65" t="s">
        <v>541</v>
      </c>
      <c r="J5" s="66" t="s">
        <v>542</v>
      </c>
    </row>
    <row r="6" customFormat="false" ht="39.75" hidden="false" customHeight="true" outlineLevel="0" collapsed="false">
      <c r="A6" s="63" t="s">
        <v>527</v>
      </c>
      <c r="B6" s="63" t="s">
        <v>528</v>
      </c>
      <c r="C6" s="64" t="s">
        <v>529</v>
      </c>
      <c r="D6" s="65" t="s">
        <v>530</v>
      </c>
      <c r="E6" s="66" t="s">
        <v>543</v>
      </c>
      <c r="F6" s="67" t="s">
        <v>532</v>
      </c>
      <c r="G6" s="66" t="s">
        <v>544</v>
      </c>
      <c r="H6" s="65" t="s">
        <v>545</v>
      </c>
      <c r="I6" s="66" t="s">
        <v>546</v>
      </c>
      <c r="J6" s="66" t="s">
        <v>547</v>
      </c>
    </row>
    <row r="7" customFormat="false" ht="39.75" hidden="false" customHeight="true" outlineLevel="0" collapsed="false">
      <c r="A7" s="63" t="s">
        <v>548</v>
      </c>
      <c r="B7" s="63" t="s">
        <v>528</v>
      </c>
      <c r="C7" s="64" t="s">
        <v>529</v>
      </c>
      <c r="D7" s="65" t="s">
        <v>530</v>
      </c>
      <c r="E7" s="66" t="s">
        <v>549</v>
      </c>
      <c r="F7" s="67" t="s">
        <v>532</v>
      </c>
      <c r="G7" s="66" t="s">
        <v>550</v>
      </c>
      <c r="H7" s="66" t="s">
        <v>551</v>
      </c>
      <c r="I7" s="65" t="s">
        <v>552</v>
      </c>
      <c r="J7" s="66" t="s">
        <v>553</v>
      </c>
    </row>
    <row r="8" customFormat="false" ht="39.75" hidden="false" customHeight="true" outlineLevel="0" collapsed="false">
      <c r="A8" s="63" t="s">
        <v>548</v>
      </c>
      <c r="B8" s="63" t="s">
        <v>528</v>
      </c>
      <c r="C8" s="64" t="s">
        <v>529</v>
      </c>
      <c r="D8" s="65" t="s">
        <v>530</v>
      </c>
      <c r="E8" s="66" t="s">
        <v>554</v>
      </c>
      <c r="F8" s="67" t="s">
        <v>532</v>
      </c>
      <c r="G8" s="66" t="s">
        <v>555</v>
      </c>
      <c r="H8" s="65" t="s">
        <v>556</v>
      </c>
      <c r="I8" s="66" t="s">
        <v>557</v>
      </c>
      <c r="J8" s="66" t="s">
        <v>558</v>
      </c>
    </row>
    <row r="9" customFormat="false" ht="39.75" hidden="false" customHeight="true" outlineLevel="0" collapsed="false">
      <c r="A9" s="63" t="s">
        <v>548</v>
      </c>
      <c r="B9" s="63" t="s">
        <v>528</v>
      </c>
      <c r="C9" s="64" t="s">
        <v>529</v>
      </c>
      <c r="D9" s="65" t="s">
        <v>530</v>
      </c>
      <c r="E9" s="66" t="s">
        <v>559</v>
      </c>
      <c r="F9" s="67" t="s">
        <v>532</v>
      </c>
      <c r="G9" s="66" t="s">
        <v>560</v>
      </c>
      <c r="H9" s="66" t="s">
        <v>561</v>
      </c>
      <c r="I9" s="65" t="s">
        <v>562</v>
      </c>
      <c r="J9" s="66" t="s">
        <v>563</v>
      </c>
    </row>
    <row r="10" customFormat="false" ht="39.75" hidden="false" customHeight="true" outlineLevel="0" collapsed="false">
      <c r="A10" s="63" t="s">
        <v>548</v>
      </c>
      <c r="B10" s="63" t="s">
        <v>528</v>
      </c>
      <c r="C10" s="64" t="s">
        <v>529</v>
      </c>
      <c r="D10" s="65" t="s">
        <v>530</v>
      </c>
      <c r="E10" s="66" t="s">
        <v>564</v>
      </c>
      <c r="F10" s="67" t="s">
        <v>538</v>
      </c>
      <c r="G10" s="66" t="s">
        <v>550</v>
      </c>
      <c r="H10" s="66" t="s">
        <v>565</v>
      </c>
      <c r="I10" s="66" t="s">
        <v>566</v>
      </c>
      <c r="J10" s="65" t="s">
        <v>567</v>
      </c>
    </row>
    <row r="11" customFormat="false" ht="39.75" hidden="false" customHeight="true" outlineLevel="0" collapsed="false">
      <c r="A11" s="63" t="s">
        <v>548</v>
      </c>
      <c r="B11" s="63" t="s">
        <v>528</v>
      </c>
      <c r="C11" s="64" t="s">
        <v>529</v>
      </c>
      <c r="D11" s="65" t="s">
        <v>530</v>
      </c>
      <c r="E11" s="66" t="s">
        <v>568</v>
      </c>
      <c r="F11" s="67" t="s">
        <v>538</v>
      </c>
      <c r="G11" s="66" t="s">
        <v>569</v>
      </c>
      <c r="H11" s="65" t="s">
        <v>570</v>
      </c>
      <c r="I11" s="66" t="s">
        <v>571</v>
      </c>
      <c r="J11" s="66" t="s">
        <v>572</v>
      </c>
    </row>
    <row r="12" customFormat="false" ht="39.75" hidden="false" customHeight="true" outlineLevel="0" collapsed="false">
      <c r="A12" s="63" t="s">
        <v>548</v>
      </c>
      <c r="B12" s="63" t="s">
        <v>528</v>
      </c>
      <c r="C12" s="64" t="s">
        <v>529</v>
      </c>
      <c r="D12" s="65" t="s">
        <v>530</v>
      </c>
      <c r="E12" s="66" t="s">
        <v>573</v>
      </c>
      <c r="F12" s="67" t="s">
        <v>532</v>
      </c>
      <c r="G12" s="66" t="s">
        <v>574</v>
      </c>
      <c r="H12" s="65" t="s">
        <v>575</v>
      </c>
      <c r="I12" s="65" t="s">
        <v>576</v>
      </c>
      <c r="J12" s="65" t="s">
        <v>577</v>
      </c>
    </row>
    <row r="13" customFormat="false" ht="39.75" hidden="false" customHeight="true" outlineLevel="0" collapsed="false">
      <c r="A13" s="63" t="s">
        <v>548</v>
      </c>
      <c r="B13" s="63" t="s">
        <v>528</v>
      </c>
      <c r="C13" s="64" t="s">
        <v>529</v>
      </c>
      <c r="D13" s="65" t="s">
        <v>530</v>
      </c>
      <c r="E13" s="66" t="s">
        <v>578</v>
      </c>
      <c r="F13" s="67" t="s">
        <v>532</v>
      </c>
      <c r="G13" s="66" t="s">
        <v>579</v>
      </c>
      <c r="H13" s="65" t="s">
        <v>580</v>
      </c>
      <c r="I13" s="65" t="s">
        <v>581</v>
      </c>
      <c r="J13" s="65" t="s">
        <v>582</v>
      </c>
    </row>
    <row r="14" customFormat="false" ht="39.75" hidden="false" customHeight="true" outlineLevel="0" collapsed="false">
      <c r="A14" s="63" t="s">
        <v>548</v>
      </c>
      <c r="B14" s="63" t="s">
        <v>528</v>
      </c>
      <c r="C14" s="64" t="s">
        <v>529</v>
      </c>
      <c r="D14" s="65" t="s">
        <v>530</v>
      </c>
      <c r="E14" s="66" t="s">
        <v>583</v>
      </c>
      <c r="F14" s="67" t="s">
        <v>532</v>
      </c>
      <c r="G14" s="66" t="s">
        <v>584</v>
      </c>
      <c r="H14" s="65" t="s">
        <v>585</v>
      </c>
      <c r="I14" s="66" t="s">
        <v>586</v>
      </c>
      <c r="J14" s="65" t="s">
        <v>587</v>
      </c>
    </row>
    <row r="15" customFormat="false" ht="39.75" hidden="false" customHeight="true" outlineLevel="0" collapsed="false">
      <c r="A15" s="63" t="s">
        <v>548</v>
      </c>
      <c r="B15" s="63" t="s">
        <v>528</v>
      </c>
      <c r="C15" s="68" t="s">
        <v>588</v>
      </c>
      <c r="D15" s="65" t="s">
        <v>530</v>
      </c>
      <c r="E15" s="65" t="s">
        <v>589</v>
      </c>
      <c r="F15" s="67" t="s">
        <v>532</v>
      </c>
      <c r="G15" s="66" t="s">
        <v>590</v>
      </c>
      <c r="H15" s="66" t="s">
        <v>540</v>
      </c>
      <c r="I15" s="65" t="s">
        <v>541</v>
      </c>
      <c r="J15" s="66" t="s">
        <v>542</v>
      </c>
    </row>
    <row r="16" customFormat="false" ht="39.75" hidden="false" customHeight="true" outlineLevel="0" collapsed="false">
      <c r="A16" s="63" t="s">
        <v>591</v>
      </c>
      <c r="B16" s="63" t="s">
        <v>528</v>
      </c>
      <c r="C16" s="64" t="s">
        <v>529</v>
      </c>
      <c r="D16" s="65" t="s">
        <v>530</v>
      </c>
      <c r="E16" s="66" t="s">
        <v>592</v>
      </c>
      <c r="F16" s="67" t="s">
        <v>532</v>
      </c>
      <c r="G16" s="66" t="s">
        <v>560</v>
      </c>
      <c r="H16" s="66" t="s">
        <v>540</v>
      </c>
      <c r="I16" s="65" t="s">
        <v>541</v>
      </c>
      <c r="J16" s="66" t="s">
        <v>542</v>
      </c>
    </row>
    <row r="17" customFormat="false" ht="39.75" hidden="false" customHeight="true" outlineLevel="0" collapsed="false">
      <c r="A17" s="63" t="s">
        <v>591</v>
      </c>
      <c r="B17" s="63" t="s">
        <v>528</v>
      </c>
      <c r="C17" s="64" t="s">
        <v>529</v>
      </c>
      <c r="D17" s="65" t="s">
        <v>530</v>
      </c>
      <c r="E17" s="65" t="s">
        <v>593</v>
      </c>
      <c r="F17" s="67" t="s">
        <v>532</v>
      </c>
      <c r="G17" s="66" t="s">
        <v>560</v>
      </c>
      <c r="H17" s="66" t="s">
        <v>540</v>
      </c>
      <c r="I17" s="65" t="s">
        <v>541</v>
      </c>
      <c r="J17" s="66" t="s">
        <v>542</v>
      </c>
    </row>
    <row r="18" customFormat="false" ht="39.75" hidden="false" customHeight="true" outlineLevel="0" collapsed="false">
      <c r="A18" s="63" t="s">
        <v>591</v>
      </c>
      <c r="B18" s="63" t="s">
        <v>528</v>
      </c>
      <c r="C18" s="64" t="s">
        <v>529</v>
      </c>
      <c r="D18" s="65" t="s">
        <v>530</v>
      </c>
      <c r="E18" s="66" t="s">
        <v>594</v>
      </c>
      <c r="F18" s="67" t="s">
        <v>532</v>
      </c>
      <c r="G18" s="66" t="s">
        <v>560</v>
      </c>
      <c r="H18" s="66" t="s">
        <v>540</v>
      </c>
      <c r="I18" s="65" t="s">
        <v>541</v>
      </c>
      <c r="J18" s="66" t="s">
        <v>542</v>
      </c>
    </row>
    <row r="19" customFormat="false" ht="39.75" hidden="false" customHeight="true" outlineLevel="0" collapsed="false">
      <c r="A19" s="63" t="s">
        <v>591</v>
      </c>
      <c r="B19" s="63" t="s">
        <v>528</v>
      </c>
      <c r="C19" s="64" t="s">
        <v>529</v>
      </c>
      <c r="D19" s="65" t="s">
        <v>530</v>
      </c>
      <c r="E19" s="66" t="s">
        <v>595</v>
      </c>
      <c r="F19" s="67" t="s">
        <v>532</v>
      </c>
      <c r="G19" s="66" t="s">
        <v>596</v>
      </c>
      <c r="H19" s="66" t="s">
        <v>540</v>
      </c>
      <c r="I19" s="65" t="s">
        <v>541</v>
      </c>
      <c r="J19" s="66" t="s">
        <v>542</v>
      </c>
    </row>
    <row r="20" customFormat="false" ht="39.75" hidden="false" customHeight="true" outlineLevel="0" collapsed="false">
      <c r="A20" s="63" t="s">
        <v>591</v>
      </c>
      <c r="B20" s="63" t="s">
        <v>528</v>
      </c>
      <c r="C20" s="64" t="s">
        <v>529</v>
      </c>
      <c r="D20" s="65" t="s">
        <v>530</v>
      </c>
      <c r="E20" s="66" t="s">
        <v>597</v>
      </c>
      <c r="F20" s="67" t="s">
        <v>538</v>
      </c>
      <c r="G20" s="66" t="s">
        <v>598</v>
      </c>
      <c r="H20" s="66" t="s">
        <v>540</v>
      </c>
      <c r="I20" s="65" t="s">
        <v>541</v>
      </c>
      <c r="J20" s="66" t="s">
        <v>542</v>
      </c>
    </row>
    <row r="21" customFormat="false" ht="39.75" hidden="false" customHeight="true" outlineLevel="0" collapsed="false">
      <c r="A21" s="63" t="s">
        <v>591</v>
      </c>
      <c r="B21" s="63" t="s">
        <v>528</v>
      </c>
      <c r="C21" s="64" t="s">
        <v>529</v>
      </c>
      <c r="D21" s="65" t="s">
        <v>530</v>
      </c>
      <c r="E21" s="66" t="s">
        <v>599</v>
      </c>
      <c r="F21" s="67" t="s">
        <v>532</v>
      </c>
      <c r="G21" s="66" t="s">
        <v>600</v>
      </c>
      <c r="H21" s="66" t="s">
        <v>540</v>
      </c>
      <c r="I21" s="65" t="s">
        <v>541</v>
      </c>
      <c r="J21" s="66" t="s">
        <v>542</v>
      </c>
    </row>
    <row r="22" customFormat="false" ht="39.75" hidden="false" customHeight="true" outlineLevel="0" collapsed="false">
      <c r="A22" s="63" t="s">
        <v>591</v>
      </c>
      <c r="B22" s="63" t="s">
        <v>528</v>
      </c>
      <c r="C22" s="64" t="s">
        <v>529</v>
      </c>
      <c r="D22" s="65" t="s">
        <v>530</v>
      </c>
      <c r="E22" s="66" t="s">
        <v>601</v>
      </c>
      <c r="F22" s="67" t="s">
        <v>532</v>
      </c>
      <c r="G22" s="66" t="s">
        <v>600</v>
      </c>
      <c r="H22" s="66" t="s">
        <v>540</v>
      </c>
      <c r="I22" s="65" t="s">
        <v>541</v>
      </c>
      <c r="J22" s="66" t="s">
        <v>542</v>
      </c>
    </row>
    <row r="23" customFormat="false" ht="39.75" hidden="false" customHeight="true" outlineLevel="0" collapsed="false">
      <c r="A23" s="63" t="s">
        <v>591</v>
      </c>
      <c r="B23" s="63" t="s">
        <v>528</v>
      </c>
      <c r="C23" s="64" t="s">
        <v>529</v>
      </c>
      <c r="D23" s="65" t="s">
        <v>530</v>
      </c>
      <c r="E23" s="65" t="s">
        <v>602</v>
      </c>
      <c r="F23" s="67" t="s">
        <v>532</v>
      </c>
      <c r="G23" s="66" t="s">
        <v>600</v>
      </c>
      <c r="H23" s="66" t="s">
        <v>540</v>
      </c>
      <c r="I23" s="65" t="s">
        <v>541</v>
      </c>
      <c r="J23" s="66" t="s">
        <v>542</v>
      </c>
    </row>
    <row r="24" customFormat="false" ht="39.75" hidden="false" customHeight="true" outlineLevel="0" collapsed="false">
      <c r="A24" s="63" t="s">
        <v>591</v>
      </c>
      <c r="B24" s="63" t="s">
        <v>528</v>
      </c>
      <c r="C24" s="68" t="s">
        <v>588</v>
      </c>
      <c r="D24" s="65" t="s">
        <v>530</v>
      </c>
      <c r="E24" s="66" t="s">
        <v>603</v>
      </c>
      <c r="F24" s="67" t="s">
        <v>538</v>
      </c>
      <c r="G24" s="66" t="s">
        <v>604</v>
      </c>
      <c r="H24" s="66" t="s">
        <v>540</v>
      </c>
      <c r="I24" s="65" t="s">
        <v>541</v>
      </c>
      <c r="J24" s="66" t="s">
        <v>542</v>
      </c>
    </row>
    <row r="25" customFormat="false" ht="39.75" hidden="false" customHeight="true" outlineLevel="0" collapsed="false">
      <c r="A25" s="63" t="s">
        <v>591</v>
      </c>
      <c r="B25" s="63" t="s">
        <v>528</v>
      </c>
      <c r="C25" s="68" t="s">
        <v>588</v>
      </c>
      <c r="D25" s="65" t="s">
        <v>530</v>
      </c>
      <c r="E25" s="65" t="s">
        <v>189</v>
      </c>
      <c r="F25" s="67" t="s">
        <v>538</v>
      </c>
      <c r="G25" s="66" t="s">
        <v>590</v>
      </c>
      <c r="H25" s="66" t="s">
        <v>540</v>
      </c>
      <c r="I25" s="65" t="s">
        <v>541</v>
      </c>
      <c r="J25" s="66" t="s">
        <v>542</v>
      </c>
    </row>
    <row r="26" customFormat="false" ht="39.75" hidden="false" customHeight="true" outlineLevel="0" collapsed="false">
      <c r="A26" s="63" t="s">
        <v>591</v>
      </c>
      <c r="B26" s="63" t="s">
        <v>528</v>
      </c>
      <c r="C26" s="69" t="s">
        <v>605</v>
      </c>
      <c r="D26" s="65" t="s">
        <v>530</v>
      </c>
      <c r="E26" s="66" t="s">
        <v>606</v>
      </c>
      <c r="F26" s="67" t="s">
        <v>538</v>
      </c>
      <c r="G26" s="65" t="s">
        <v>607</v>
      </c>
      <c r="H26" s="66" t="s">
        <v>540</v>
      </c>
      <c r="I26" s="65" t="s">
        <v>541</v>
      </c>
      <c r="J26" s="66" t="s">
        <v>542</v>
      </c>
    </row>
    <row r="27" customFormat="false" ht="39.75" hidden="false" customHeight="true" outlineLevel="0" collapsed="false">
      <c r="A27" s="63" t="s">
        <v>591</v>
      </c>
      <c r="B27" s="63" t="s">
        <v>528</v>
      </c>
      <c r="C27" s="69" t="s">
        <v>605</v>
      </c>
      <c r="D27" s="65" t="s">
        <v>530</v>
      </c>
      <c r="E27" s="66" t="s">
        <v>608</v>
      </c>
      <c r="F27" s="67" t="s">
        <v>538</v>
      </c>
      <c r="G27" s="65" t="s">
        <v>607</v>
      </c>
      <c r="H27" s="66" t="s">
        <v>540</v>
      </c>
      <c r="I27" s="65" t="s">
        <v>541</v>
      </c>
      <c r="J27" s="66" t="s">
        <v>542</v>
      </c>
    </row>
    <row r="28" customFormat="false" ht="39.75" hidden="false" customHeight="true" outlineLevel="0" collapsed="false">
      <c r="A28" s="63" t="s">
        <v>609</v>
      </c>
      <c r="B28" s="63" t="s">
        <v>528</v>
      </c>
      <c r="C28" s="68" t="s">
        <v>588</v>
      </c>
      <c r="D28" s="65" t="s">
        <v>530</v>
      </c>
      <c r="E28" s="65" t="s">
        <v>610</v>
      </c>
      <c r="F28" s="67" t="s">
        <v>538</v>
      </c>
      <c r="G28" s="66" t="s">
        <v>590</v>
      </c>
      <c r="H28" s="66" t="s">
        <v>540</v>
      </c>
      <c r="I28" s="65" t="s">
        <v>541</v>
      </c>
      <c r="J28" s="66" t="s">
        <v>542</v>
      </c>
    </row>
    <row r="29" customFormat="false" ht="39.75" hidden="false" customHeight="true" outlineLevel="0" collapsed="false">
      <c r="A29" s="63" t="s">
        <v>609</v>
      </c>
      <c r="B29" s="63" t="s">
        <v>528</v>
      </c>
      <c r="C29" s="68" t="s">
        <v>588</v>
      </c>
      <c r="D29" s="65" t="s">
        <v>530</v>
      </c>
      <c r="E29" s="66" t="s">
        <v>611</v>
      </c>
      <c r="F29" s="67" t="s">
        <v>532</v>
      </c>
      <c r="G29" s="66" t="s">
        <v>604</v>
      </c>
      <c r="H29" s="66" t="s">
        <v>540</v>
      </c>
      <c r="I29" s="65" t="s">
        <v>541</v>
      </c>
      <c r="J29" s="66" t="s">
        <v>542</v>
      </c>
    </row>
    <row r="30" customFormat="false" ht="39.75" hidden="false" customHeight="true" outlineLevel="0" collapsed="false">
      <c r="A30" s="63" t="s">
        <v>609</v>
      </c>
      <c r="B30" s="63" t="s">
        <v>528</v>
      </c>
      <c r="C30" s="68" t="s">
        <v>588</v>
      </c>
      <c r="D30" s="65" t="s">
        <v>530</v>
      </c>
      <c r="E30" s="66" t="s">
        <v>612</v>
      </c>
      <c r="F30" s="67" t="s">
        <v>532</v>
      </c>
      <c r="G30" s="66" t="s">
        <v>613</v>
      </c>
      <c r="H30" s="66" t="s">
        <v>540</v>
      </c>
      <c r="I30" s="65" t="s">
        <v>541</v>
      </c>
      <c r="J30" s="66" t="s">
        <v>542</v>
      </c>
    </row>
    <row r="31" customFormat="false" ht="39.75" hidden="false" customHeight="true" outlineLevel="0" collapsed="false">
      <c r="A31" s="63" t="s">
        <v>609</v>
      </c>
      <c r="B31" s="63" t="s">
        <v>528</v>
      </c>
      <c r="C31" s="68" t="s">
        <v>588</v>
      </c>
      <c r="D31" s="65" t="s">
        <v>530</v>
      </c>
      <c r="E31" s="65" t="s">
        <v>614</v>
      </c>
      <c r="F31" s="67" t="s">
        <v>532</v>
      </c>
      <c r="G31" s="66" t="s">
        <v>615</v>
      </c>
      <c r="H31" s="65" t="s">
        <v>616</v>
      </c>
      <c r="I31" s="66" t="s">
        <v>617</v>
      </c>
      <c r="J31" s="65" t="s">
        <v>618</v>
      </c>
    </row>
    <row r="32" customFormat="false" ht="39.75" hidden="false" customHeight="true" outlineLevel="0" collapsed="false">
      <c r="A32" s="63" t="s">
        <v>619</v>
      </c>
      <c r="B32" s="63" t="s">
        <v>528</v>
      </c>
      <c r="C32" s="68" t="s">
        <v>588</v>
      </c>
      <c r="D32" s="65" t="s">
        <v>530</v>
      </c>
      <c r="E32" s="66" t="s">
        <v>620</v>
      </c>
      <c r="F32" s="67" t="s">
        <v>538</v>
      </c>
      <c r="G32" s="66" t="s">
        <v>604</v>
      </c>
      <c r="H32" s="66" t="s">
        <v>540</v>
      </c>
      <c r="I32" s="65" t="s">
        <v>541</v>
      </c>
      <c r="J32" s="66" t="s">
        <v>542</v>
      </c>
    </row>
    <row r="33" customFormat="false" ht="39.75" hidden="false" customHeight="true" outlineLevel="0" collapsed="false">
      <c r="A33" s="63" t="s">
        <v>621</v>
      </c>
      <c r="B33" s="63" t="s">
        <v>622</v>
      </c>
      <c r="C33" s="70" t="s">
        <v>623</v>
      </c>
      <c r="D33" s="65" t="s">
        <v>102</v>
      </c>
      <c r="E33" s="65" t="s">
        <v>624</v>
      </c>
      <c r="F33" s="67" t="s">
        <v>625</v>
      </c>
      <c r="G33" s="66" t="s">
        <v>626</v>
      </c>
      <c r="H33" s="66" t="s">
        <v>627</v>
      </c>
      <c r="I33" s="66" t="s">
        <v>628</v>
      </c>
      <c r="J33" s="66" t="s">
        <v>629</v>
      </c>
    </row>
    <row r="34" customFormat="false" ht="39.75" hidden="false" customHeight="true" outlineLevel="0" collapsed="false">
      <c r="A34" s="63" t="s">
        <v>621</v>
      </c>
      <c r="B34" s="63" t="s">
        <v>622</v>
      </c>
      <c r="C34" s="70" t="s">
        <v>623</v>
      </c>
      <c r="D34" s="65" t="s">
        <v>102</v>
      </c>
      <c r="E34" s="66" t="s">
        <v>630</v>
      </c>
      <c r="F34" s="67" t="s">
        <v>625</v>
      </c>
      <c r="G34" s="66" t="s">
        <v>631</v>
      </c>
      <c r="H34" s="65" t="s">
        <v>632</v>
      </c>
      <c r="I34" s="66" t="s">
        <v>633</v>
      </c>
      <c r="J34" s="66" t="s">
        <v>634</v>
      </c>
    </row>
    <row r="35" customFormat="false" ht="39.75" hidden="false" customHeight="true" outlineLevel="0" collapsed="false">
      <c r="A35" s="63" t="s">
        <v>621</v>
      </c>
      <c r="B35" s="63" t="s">
        <v>622</v>
      </c>
      <c r="C35" s="70" t="s">
        <v>623</v>
      </c>
      <c r="D35" s="65" t="s">
        <v>102</v>
      </c>
      <c r="E35" s="66" t="s">
        <v>635</v>
      </c>
      <c r="F35" s="67" t="s">
        <v>625</v>
      </c>
      <c r="G35" s="66" t="s">
        <v>636</v>
      </c>
      <c r="H35" s="66" t="s">
        <v>637</v>
      </c>
      <c r="I35" s="66" t="s">
        <v>638</v>
      </c>
      <c r="J35" s="65" t="s">
        <v>639</v>
      </c>
    </row>
    <row r="36" customFormat="false" ht="39.75" hidden="false" customHeight="true" outlineLevel="0" collapsed="false">
      <c r="A36" s="63" t="s">
        <v>621</v>
      </c>
      <c r="B36" s="63" t="s">
        <v>622</v>
      </c>
      <c r="C36" s="69" t="s">
        <v>605</v>
      </c>
      <c r="D36" s="65" t="s">
        <v>102</v>
      </c>
      <c r="E36" s="66" t="s">
        <v>640</v>
      </c>
      <c r="F36" s="67" t="s">
        <v>538</v>
      </c>
      <c r="G36" s="65" t="s">
        <v>607</v>
      </c>
      <c r="H36" s="66" t="s">
        <v>641</v>
      </c>
      <c r="I36" s="65" t="s">
        <v>642</v>
      </c>
      <c r="J36" s="66" t="s">
        <v>643</v>
      </c>
    </row>
    <row r="37" customFormat="false" ht="39.75" hidden="false" customHeight="true" outlineLevel="0" collapsed="false">
      <c r="A37" s="63" t="s">
        <v>621</v>
      </c>
      <c r="B37" s="63" t="s">
        <v>644</v>
      </c>
      <c r="C37" s="71" t="s">
        <v>645</v>
      </c>
      <c r="D37" s="65" t="s">
        <v>120</v>
      </c>
      <c r="E37" s="65" t="s">
        <v>646</v>
      </c>
      <c r="F37" s="67" t="s">
        <v>532</v>
      </c>
      <c r="G37" s="66" t="s">
        <v>636</v>
      </c>
      <c r="H37" s="66" t="s">
        <v>647</v>
      </c>
      <c r="I37" s="65" t="s">
        <v>648</v>
      </c>
      <c r="J37" s="65" t="s">
        <v>649</v>
      </c>
    </row>
    <row r="38" customFormat="false" ht="39.75" hidden="false" customHeight="true" outlineLevel="0" collapsed="false">
      <c r="A38" s="63" t="s">
        <v>650</v>
      </c>
      <c r="B38" s="63" t="s">
        <v>651</v>
      </c>
      <c r="C38" s="68" t="s">
        <v>588</v>
      </c>
      <c r="D38" s="66" t="s">
        <v>652</v>
      </c>
      <c r="E38" s="65" t="s">
        <v>653</v>
      </c>
      <c r="F38" s="67" t="s">
        <v>532</v>
      </c>
      <c r="G38" s="66" t="s">
        <v>654</v>
      </c>
      <c r="H38" s="65" t="s">
        <v>616</v>
      </c>
      <c r="I38" s="66" t="s">
        <v>617</v>
      </c>
      <c r="J38" s="65" t="s">
        <v>618</v>
      </c>
    </row>
    <row r="39" customFormat="false" ht="39.75" hidden="false" customHeight="true" outlineLevel="0" collapsed="false">
      <c r="A39" s="63" t="s">
        <v>650</v>
      </c>
      <c r="B39" s="63" t="s">
        <v>651</v>
      </c>
      <c r="C39" s="68" t="s">
        <v>588</v>
      </c>
      <c r="D39" s="66" t="s">
        <v>652</v>
      </c>
      <c r="E39" s="65" t="s">
        <v>655</v>
      </c>
      <c r="F39" s="67" t="s">
        <v>532</v>
      </c>
      <c r="G39" s="66" t="s">
        <v>654</v>
      </c>
      <c r="H39" s="65" t="s">
        <v>616</v>
      </c>
      <c r="I39" s="66" t="s">
        <v>617</v>
      </c>
      <c r="J39" s="65" t="s">
        <v>618</v>
      </c>
    </row>
    <row r="40" customFormat="false" ht="39.75" hidden="false" customHeight="true" outlineLevel="0" collapsed="false">
      <c r="A40" s="63" t="s">
        <v>650</v>
      </c>
      <c r="B40" s="63" t="s">
        <v>651</v>
      </c>
      <c r="C40" s="68" t="s">
        <v>588</v>
      </c>
      <c r="D40" s="66" t="s">
        <v>652</v>
      </c>
      <c r="E40" s="65" t="s">
        <v>656</v>
      </c>
      <c r="F40" s="67" t="s">
        <v>532</v>
      </c>
      <c r="G40" s="66" t="s">
        <v>654</v>
      </c>
      <c r="H40" s="65" t="s">
        <v>657</v>
      </c>
      <c r="I40" s="65" t="s">
        <v>658</v>
      </c>
      <c r="J40" s="65" t="s">
        <v>659</v>
      </c>
    </row>
    <row r="41" customFormat="false" ht="39.75" hidden="false" customHeight="true" outlineLevel="0" collapsed="false">
      <c r="A41" s="63" t="s">
        <v>660</v>
      </c>
      <c r="B41" s="63" t="s">
        <v>622</v>
      </c>
      <c r="C41" s="70" t="s">
        <v>623</v>
      </c>
      <c r="D41" s="65" t="s">
        <v>102</v>
      </c>
      <c r="E41" s="65" t="s">
        <v>661</v>
      </c>
      <c r="F41" s="67" t="s">
        <v>625</v>
      </c>
      <c r="G41" s="66" t="s">
        <v>662</v>
      </c>
      <c r="H41" s="65" t="s">
        <v>663</v>
      </c>
      <c r="I41" s="66" t="s">
        <v>664</v>
      </c>
      <c r="J41" s="65" t="s">
        <v>665</v>
      </c>
    </row>
    <row r="42" customFormat="false" ht="39.75" hidden="false" customHeight="true" outlineLevel="0" collapsed="false">
      <c r="A42" s="63" t="s">
        <v>666</v>
      </c>
      <c r="B42" s="63" t="s">
        <v>651</v>
      </c>
      <c r="C42" s="68" t="s">
        <v>588</v>
      </c>
      <c r="D42" s="66" t="s">
        <v>652</v>
      </c>
      <c r="E42" s="66" t="s">
        <v>667</v>
      </c>
      <c r="F42" s="67" t="s">
        <v>532</v>
      </c>
      <c r="G42" s="66" t="s">
        <v>654</v>
      </c>
      <c r="H42" s="65" t="s">
        <v>657</v>
      </c>
      <c r="I42" s="65" t="s">
        <v>658</v>
      </c>
      <c r="J42" s="65" t="s">
        <v>659</v>
      </c>
    </row>
    <row r="43" customFormat="false" ht="39.75" hidden="false" customHeight="true" outlineLevel="0" collapsed="false">
      <c r="A43" s="63" t="s">
        <v>666</v>
      </c>
      <c r="B43" s="63" t="s">
        <v>651</v>
      </c>
      <c r="C43" s="68" t="s">
        <v>588</v>
      </c>
      <c r="D43" s="66" t="s">
        <v>652</v>
      </c>
      <c r="E43" s="65" t="s">
        <v>668</v>
      </c>
      <c r="F43" s="67" t="s">
        <v>538</v>
      </c>
      <c r="G43" s="66" t="s">
        <v>654</v>
      </c>
      <c r="H43" s="65" t="s">
        <v>657</v>
      </c>
      <c r="I43" s="65" t="s">
        <v>658</v>
      </c>
      <c r="J43" s="65" t="s">
        <v>659</v>
      </c>
    </row>
    <row r="44" customFormat="false" ht="39.75" hidden="false" customHeight="true" outlineLevel="0" collapsed="false">
      <c r="A44" s="63" t="s">
        <v>666</v>
      </c>
      <c r="B44" s="63" t="s">
        <v>651</v>
      </c>
      <c r="C44" s="68" t="s">
        <v>588</v>
      </c>
      <c r="D44" s="66" t="s">
        <v>652</v>
      </c>
      <c r="E44" s="66" t="s">
        <v>669</v>
      </c>
      <c r="F44" s="67" t="s">
        <v>538</v>
      </c>
      <c r="G44" s="66" t="s">
        <v>654</v>
      </c>
      <c r="H44" s="65" t="s">
        <v>657</v>
      </c>
      <c r="I44" s="65" t="s">
        <v>658</v>
      </c>
      <c r="J44" s="65" t="s">
        <v>659</v>
      </c>
    </row>
    <row r="45" customFormat="false" ht="39.75" hidden="false" customHeight="true" outlineLevel="0" collapsed="false">
      <c r="A45" s="63" t="s">
        <v>670</v>
      </c>
      <c r="B45" s="63" t="s">
        <v>622</v>
      </c>
      <c r="C45" s="70" t="s">
        <v>623</v>
      </c>
      <c r="D45" s="65" t="s">
        <v>102</v>
      </c>
      <c r="E45" s="66" t="s">
        <v>671</v>
      </c>
      <c r="F45" s="67" t="s">
        <v>625</v>
      </c>
      <c r="G45" s="66" t="s">
        <v>672</v>
      </c>
      <c r="H45" s="65" t="s">
        <v>673</v>
      </c>
      <c r="I45" s="66" t="s">
        <v>674</v>
      </c>
      <c r="J45" s="65" t="s">
        <v>675</v>
      </c>
    </row>
    <row r="46" customFormat="false" ht="39.75" hidden="false" customHeight="true" outlineLevel="0" collapsed="false">
      <c r="A46" s="63" t="s">
        <v>676</v>
      </c>
      <c r="B46" s="63" t="s">
        <v>622</v>
      </c>
      <c r="C46" s="70" t="s">
        <v>623</v>
      </c>
      <c r="D46" s="65" t="s">
        <v>102</v>
      </c>
      <c r="E46" s="65" t="s">
        <v>677</v>
      </c>
      <c r="F46" s="67" t="s">
        <v>625</v>
      </c>
      <c r="G46" s="66" t="s">
        <v>678</v>
      </c>
      <c r="H46" s="65" t="s">
        <v>679</v>
      </c>
      <c r="I46" s="66" t="s">
        <v>680</v>
      </c>
      <c r="J46" s="65" t="s">
        <v>681</v>
      </c>
    </row>
    <row r="47" customFormat="false" ht="39.75" hidden="false" customHeight="true" outlineLevel="0" collapsed="false">
      <c r="A47" s="63" t="s">
        <v>682</v>
      </c>
      <c r="B47" s="63" t="s">
        <v>622</v>
      </c>
      <c r="C47" s="70" t="s">
        <v>623</v>
      </c>
      <c r="D47" s="65" t="s">
        <v>102</v>
      </c>
      <c r="E47" s="65" t="s">
        <v>683</v>
      </c>
      <c r="F47" s="67" t="s">
        <v>625</v>
      </c>
      <c r="G47" s="66" t="s">
        <v>684</v>
      </c>
      <c r="H47" s="65" t="s">
        <v>663</v>
      </c>
      <c r="I47" s="66" t="s">
        <v>664</v>
      </c>
      <c r="J47" s="65" t="s">
        <v>665</v>
      </c>
    </row>
    <row r="48" customFormat="false" ht="39.75" hidden="false" customHeight="true" outlineLevel="0" collapsed="false">
      <c r="A48" s="63" t="s">
        <v>682</v>
      </c>
      <c r="B48" s="63" t="s">
        <v>622</v>
      </c>
      <c r="C48" s="70" t="s">
        <v>623</v>
      </c>
      <c r="D48" s="65" t="s">
        <v>102</v>
      </c>
      <c r="E48" s="66" t="s">
        <v>685</v>
      </c>
      <c r="F48" s="67" t="s">
        <v>625</v>
      </c>
      <c r="G48" s="66" t="s">
        <v>672</v>
      </c>
      <c r="H48" s="65" t="s">
        <v>663</v>
      </c>
      <c r="I48" s="66" t="s">
        <v>664</v>
      </c>
      <c r="J48" s="65" t="s">
        <v>665</v>
      </c>
    </row>
    <row r="49" customFormat="false" ht="39.75" hidden="false" customHeight="true" outlineLevel="0" collapsed="false">
      <c r="A49" s="63" t="s">
        <v>686</v>
      </c>
      <c r="B49" s="63" t="s">
        <v>622</v>
      </c>
      <c r="C49" s="70" t="s">
        <v>623</v>
      </c>
      <c r="D49" s="65" t="s">
        <v>102</v>
      </c>
      <c r="E49" s="66" t="s">
        <v>687</v>
      </c>
      <c r="F49" s="67" t="s">
        <v>625</v>
      </c>
      <c r="G49" s="66" t="s">
        <v>688</v>
      </c>
      <c r="H49" s="65" t="s">
        <v>556</v>
      </c>
      <c r="I49" s="66" t="s">
        <v>557</v>
      </c>
      <c r="J49" s="66" t="s">
        <v>558</v>
      </c>
    </row>
    <row r="50" customFormat="false" ht="39.75" hidden="false" customHeight="true" outlineLevel="0" collapsed="false">
      <c r="A50" s="63" t="s">
        <v>686</v>
      </c>
      <c r="B50" s="63" t="s">
        <v>622</v>
      </c>
      <c r="C50" s="71" t="s">
        <v>645</v>
      </c>
      <c r="D50" s="65" t="s">
        <v>102</v>
      </c>
      <c r="E50" s="66" t="s">
        <v>689</v>
      </c>
      <c r="F50" s="67" t="s">
        <v>532</v>
      </c>
      <c r="G50" s="66" t="s">
        <v>688</v>
      </c>
      <c r="H50" s="65" t="s">
        <v>663</v>
      </c>
      <c r="I50" s="66" t="s">
        <v>664</v>
      </c>
      <c r="J50" s="65" t="s">
        <v>665</v>
      </c>
    </row>
    <row r="51" customFormat="false" ht="39.75" hidden="false" customHeight="true" outlineLevel="0" collapsed="false">
      <c r="A51" s="63" t="s">
        <v>686</v>
      </c>
      <c r="B51" s="63" t="s">
        <v>622</v>
      </c>
      <c r="C51" s="70" t="s">
        <v>623</v>
      </c>
      <c r="D51" s="65" t="s">
        <v>102</v>
      </c>
      <c r="E51" s="66" t="s">
        <v>690</v>
      </c>
      <c r="F51" s="67" t="s">
        <v>625</v>
      </c>
      <c r="G51" s="66" t="s">
        <v>691</v>
      </c>
      <c r="H51" s="66" t="s">
        <v>692</v>
      </c>
      <c r="I51" s="66" t="s">
        <v>693</v>
      </c>
      <c r="J51" s="65" t="s">
        <v>694</v>
      </c>
    </row>
    <row r="52" customFormat="false" ht="39.75" hidden="false" customHeight="true" outlineLevel="0" collapsed="false">
      <c r="A52" s="63" t="s">
        <v>695</v>
      </c>
      <c r="B52" s="63" t="s">
        <v>622</v>
      </c>
      <c r="C52" s="71" t="s">
        <v>645</v>
      </c>
      <c r="D52" s="65" t="s">
        <v>102</v>
      </c>
      <c r="E52" s="65" t="s">
        <v>696</v>
      </c>
      <c r="F52" s="67" t="s">
        <v>532</v>
      </c>
      <c r="G52" s="66" t="s">
        <v>636</v>
      </c>
      <c r="H52" s="65" t="s">
        <v>663</v>
      </c>
      <c r="I52" s="66" t="s">
        <v>664</v>
      </c>
      <c r="J52" s="65" t="s">
        <v>665</v>
      </c>
    </row>
    <row r="53" customFormat="false" ht="39.75" hidden="false" customHeight="true" outlineLevel="0" collapsed="false">
      <c r="A53" s="63" t="s">
        <v>695</v>
      </c>
      <c r="B53" s="63" t="s">
        <v>622</v>
      </c>
      <c r="C53" s="70" t="s">
        <v>623</v>
      </c>
      <c r="D53" s="65" t="s">
        <v>102</v>
      </c>
      <c r="E53" s="66" t="s">
        <v>697</v>
      </c>
      <c r="F53" s="67" t="s">
        <v>625</v>
      </c>
      <c r="G53" s="66" t="s">
        <v>672</v>
      </c>
      <c r="H53" s="65" t="s">
        <v>663</v>
      </c>
      <c r="I53" s="66" t="s">
        <v>664</v>
      </c>
      <c r="J53" s="65" t="s">
        <v>665</v>
      </c>
    </row>
    <row r="54" customFormat="false" ht="39.75" hidden="false" customHeight="true" outlineLevel="0" collapsed="false">
      <c r="A54" s="63" t="s">
        <v>698</v>
      </c>
      <c r="B54" s="63" t="s">
        <v>699</v>
      </c>
      <c r="C54" s="70" t="s">
        <v>623</v>
      </c>
      <c r="D54" s="65" t="s">
        <v>104</v>
      </c>
      <c r="E54" s="65" t="s">
        <v>700</v>
      </c>
      <c r="F54" s="67" t="s">
        <v>625</v>
      </c>
      <c r="G54" s="66" t="s">
        <v>701</v>
      </c>
      <c r="H54" s="65" t="s">
        <v>702</v>
      </c>
      <c r="I54" s="66" t="s">
        <v>703</v>
      </c>
      <c r="J54" s="65" t="s">
        <v>704</v>
      </c>
    </row>
    <row r="55" customFormat="false" ht="39.75" hidden="false" customHeight="true" outlineLevel="0" collapsed="false">
      <c r="A55" s="63" t="s">
        <v>698</v>
      </c>
      <c r="B55" s="63" t="s">
        <v>699</v>
      </c>
      <c r="C55" s="69" t="s">
        <v>605</v>
      </c>
      <c r="D55" s="65" t="s">
        <v>104</v>
      </c>
      <c r="E55" s="66" t="s">
        <v>705</v>
      </c>
      <c r="F55" s="67" t="s">
        <v>538</v>
      </c>
      <c r="G55" s="65" t="s">
        <v>607</v>
      </c>
      <c r="H55" s="65" t="s">
        <v>702</v>
      </c>
      <c r="I55" s="66" t="s">
        <v>703</v>
      </c>
      <c r="J55" s="65" t="s">
        <v>704</v>
      </c>
    </row>
    <row r="56" customFormat="false" ht="39.75" hidden="false" customHeight="true" outlineLevel="0" collapsed="false">
      <c r="A56" s="63" t="s">
        <v>706</v>
      </c>
      <c r="B56" s="63" t="s">
        <v>622</v>
      </c>
      <c r="C56" s="70" t="s">
        <v>623</v>
      </c>
      <c r="D56" s="65" t="s">
        <v>102</v>
      </c>
      <c r="E56" s="65" t="s">
        <v>707</v>
      </c>
      <c r="F56" s="67" t="s">
        <v>625</v>
      </c>
      <c r="G56" s="66" t="s">
        <v>672</v>
      </c>
      <c r="H56" s="65" t="s">
        <v>663</v>
      </c>
      <c r="I56" s="66" t="s">
        <v>664</v>
      </c>
      <c r="J56" s="65" t="s">
        <v>665</v>
      </c>
    </row>
    <row r="57" customFormat="false" ht="39.75" hidden="false" customHeight="true" outlineLevel="0" collapsed="false">
      <c r="A57" s="63" t="s">
        <v>706</v>
      </c>
      <c r="B57" s="63" t="s">
        <v>622</v>
      </c>
      <c r="C57" s="70" t="s">
        <v>623</v>
      </c>
      <c r="D57" s="65" t="s">
        <v>102</v>
      </c>
      <c r="E57" s="65" t="s">
        <v>708</v>
      </c>
      <c r="F57" s="67" t="s">
        <v>625</v>
      </c>
      <c r="G57" s="66" t="s">
        <v>684</v>
      </c>
      <c r="H57" s="65" t="s">
        <v>663</v>
      </c>
      <c r="I57" s="66" t="s">
        <v>664</v>
      </c>
      <c r="J57" s="65" t="s">
        <v>665</v>
      </c>
    </row>
    <row r="58" customFormat="false" ht="39.75" hidden="false" customHeight="true" outlineLevel="0" collapsed="false">
      <c r="A58" s="63" t="s">
        <v>709</v>
      </c>
      <c r="B58" s="63" t="s">
        <v>699</v>
      </c>
      <c r="C58" s="71" t="s">
        <v>645</v>
      </c>
      <c r="D58" s="65" t="s">
        <v>104</v>
      </c>
      <c r="E58" s="65" t="s">
        <v>710</v>
      </c>
      <c r="F58" s="67" t="s">
        <v>532</v>
      </c>
      <c r="G58" s="66" t="s">
        <v>711</v>
      </c>
      <c r="H58" s="66" t="s">
        <v>712</v>
      </c>
      <c r="I58" s="65" t="s">
        <v>713</v>
      </c>
      <c r="J58" s="65" t="s">
        <v>714</v>
      </c>
    </row>
    <row r="59" customFormat="false" ht="39.75" hidden="false" customHeight="true" outlineLevel="0" collapsed="false">
      <c r="A59" s="63" t="s">
        <v>709</v>
      </c>
      <c r="B59" s="63" t="s">
        <v>699</v>
      </c>
      <c r="C59" s="70" t="s">
        <v>623</v>
      </c>
      <c r="D59" s="65" t="s">
        <v>104</v>
      </c>
      <c r="E59" s="66" t="s">
        <v>715</v>
      </c>
      <c r="F59" s="67" t="s">
        <v>625</v>
      </c>
      <c r="G59" s="66" t="s">
        <v>716</v>
      </c>
      <c r="H59" s="65" t="s">
        <v>702</v>
      </c>
      <c r="I59" s="66" t="s">
        <v>703</v>
      </c>
      <c r="J59" s="65" t="s">
        <v>704</v>
      </c>
    </row>
    <row r="60" customFormat="false" ht="39.75" hidden="false" customHeight="true" outlineLevel="0" collapsed="false">
      <c r="A60" s="63" t="s">
        <v>717</v>
      </c>
      <c r="B60" s="63" t="s">
        <v>699</v>
      </c>
      <c r="C60" s="70" t="s">
        <v>623</v>
      </c>
      <c r="D60" s="65" t="s">
        <v>104</v>
      </c>
      <c r="E60" s="66" t="s">
        <v>718</v>
      </c>
      <c r="F60" s="67" t="s">
        <v>625</v>
      </c>
      <c r="G60" s="66" t="s">
        <v>636</v>
      </c>
      <c r="H60" s="65" t="s">
        <v>702</v>
      </c>
      <c r="I60" s="66" t="s">
        <v>703</v>
      </c>
      <c r="J60" s="65" t="s">
        <v>704</v>
      </c>
    </row>
    <row r="61" customFormat="false" ht="39.75" hidden="false" customHeight="true" outlineLevel="0" collapsed="false">
      <c r="A61" s="63" t="s">
        <v>717</v>
      </c>
      <c r="B61" s="63" t="s">
        <v>699</v>
      </c>
      <c r="C61" s="70" t="s">
        <v>623</v>
      </c>
      <c r="D61" s="65" t="s">
        <v>104</v>
      </c>
      <c r="E61" s="65" t="s">
        <v>719</v>
      </c>
      <c r="F61" s="67" t="s">
        <v>625</v>
      </c>
      <c r="G61" s="66" t="s">
        <v>720</v>
      </c>
      <c r="H61" s="65" t="s">
        <v>702</v>
      </c>
      <c r="I61" s="66" t="s">
        <v>703</v>
      </c>
      <c r="J61" s="65" t="s">
        <v>704</v>
      </c>
    </row>
    <row r="62" customFormat="false" ht="39.75" hidden="false" customHeight="true" outlineLevel="0" collapsed="false">
      <c r="A62" s="63" t="s">
        <v>721</v>
      </c>
      <c r="B62" s="63" t="s">
        <v>699</v>
      </c>
      <c r="C62" s="70" t="s">
        <v>623</v>
      </c>
      <c r="D62" s="65" t="s">
        <v>104</v>
      </c>
      <c r="E62" s="66" t="s">
        <v>722</v>
      </c>
      <c r="F62" s="67" t="s">
        <v>625</v>
      </c>
      <c r="G62" s="66" t="s">
        <v>636</v>
      </c>
      <c r="H62" s="65" t="s">
        <v>702</v>
      </c>
      <c r="I62" s="66" t="s">
        <v>703</v>
      </c>
      <c r="J62" s="65" t="s">
        <v>704</v>
      </c>
    </row>
    <row r="63" customFormat="false" ht="39.75" hidden="false" customHeight="true" outlineLevel="0" collapsed="false">
      <c r="A63" s="63" t="s">
        <v>721</v>
      </c>
      <c r="B63" s="63" t="s">
        <v>699</v>
      </c>
      <c r="C63" s="70" t="s">
        <v>623</v>
      </c>
      <c r="D63" s="65" t="s">
        <v>104</v>
      </c>
      <c r="E63" s="65" t="s">
        <v>723</v>
      </c>
      <c r="F63" s="67" t="s">
        <v>625</v>
      </c>
      <c r="G63" s="66" t="s">
        <v>720</v>
      </c>
      <c r="H63" s="65" t="s">
        <v>724</v>
      </c>
      <c r="I63" s="65" t="s">
        <v>725</v>
      </c>
      <c r="J63" s="66" t="s">
        <v>726</v>
      </c>
    </row>
    <row r="64" customFormat="false" ht="39.75" hidden="false" customHeight="true" outlineLevel="0" collapsed="false">
      <c r="A64" s="63" t="s">
        <v>727</v>
      </c>
      <c r="B64" s="63" t="s">
        <v>699</v>
      </c>
      <c r="C64" s="70" t="s">
        <v>623</v>
      </c>
      <c r="D64" s="65" t="s">
        <v>104</v>
      </c>
      <c r="E64" s="66" t="s">
        <v>728</v>
      </c>
      <c r="F64" s="67" t="s">
        <v>625</v>
      </c>
      <c r="G64" s="66" t="s">
        <v>672</v>
      </c>
      <c r="H64" s="65" t="s">
        <v>702</v>
      </c>
      <c r="I64" s="66" t="s">
        <v>703</v>
      </c>
      <c r="J64" s="65" t="s">
        <v>704</v>
      </c>
    </row>
    <row r="65" customFormat="false" ht="39.75" hidden="false" customHeight="true" outlineLevel="0" collapsed="false">
      <c r="A65" s="63" t="s">
        <v>727</v>
      </c>
      <c r="B65" s="63" t="s">
        <v>699</v>
      </c>
      <c r="C65" s="70" t="s">
        <v>623</v>
      </c>
      <c r="D65" s="65" t="s">
        <v>104</v>
      </c>
      <c r="E65" s="66" t="s">
        <v>729</v>
      </c>
      <c r="F65" s="67" t="s">
        <v>625</v>
      </c>
      <c r="G65" s="66" t="s">
        <v>720</v>
      </c>
      <c r="H65" s="65" t="s">
        <v>702</v>
      </c>
      <c r="I65" s="66" t="s">
        <v>703</v>
      </c>
      <c r="J65" s="65" t="s">
        <v>704</v>
      </c>
    </row>
    <row r="66" customFormat="false" ht="39.75" hidden="false" customHeight="true" outlineLevel="0" collapsed="false">
      <c r="A66" s="63" t="s">
        <v>727</v>
      </c>
      <c r="B66" s="63" t="s">
        <v>699</v>
      </c>
      <c r="C66" s="70" t="s">
        <v>623</v>
      </c>
      <c r="D66" s="65" t="s">
        <v>104</v>
      </c>
      <c r="E66" s="65" t="s">
        <v>730</v>
      </c>
      <c r="F66" s="67" t="s">
        <v>625</v>
      </c>
      <c r="G66" s="66" t="s">
        <v>731</v>
      </c>
      <c r="H66" s="66" t="s">
        <v>732</v>
      </c>
      <c r="I66" s="66" t="s">
        <v>733</v>
      </c>
      <c r="J66" s="65" t="s">
        <v>734</v>
      </c>
    </row>
    <row r="67" customFormat="false" ht="39.75" hidden="false" customHeight="true" outlineLevel="0" collapsed="false">
      <c r="A67" s="63" t="s">
        <v>727</v>
      </c>
      <c r="B67" s="63" t="s">
        <v>699</v>
      </c>
      <c r="C67" s="70" t="s">
        <v>623</v>
      </c>
      <c r="D67" s="65" t="s">
        <v>104</v>
      </c>
      <c r="E67" s="65" t="s">
        <v>735</v>
      </c>
      <c r="F67" s="67" t="s">
        <v>625</v>
      </c>
      <c r="G67" s="66" t="s">
        <v>736</v>
      </c>
      <c r="H67" s="65" t="s">
        <v>702</v>
      </c>
      <c r="I67" s="66" t="s">
        <v>703</v>
      </c>
      <c r="J67" s="65" t="s">
        <v>704</v>
      </c>
    </row>
    <row r="68" customFormat="false" ht="39.75" hidden="false" customHeight="true" outlineLevel="0" collapsed="false">
      <c r="A68" s="63" t="s">
        <v>737</v>
      </c>
      <c r="B68" s="63" t="s">
        <v>699</v>
      </c>
      <c r="C68" s="71" t="s">
        <v>645</v>
      </c>
      <c r="D68" s="65" t="s">
        <v>104</v>
      </c>
      <c r="E68" s="65" t="s">
        <v>738</v>
      </c>
      <c r="F68" s="67" t="s">
        <v>532</v>
      </c>
      <c r="G68" s="66" t="s">
        <v>720</v>
      </c>
      <c r="H68" s="65" t="s">
        <v>739</v>
      </c>
      <c r="I68" s="65" t="s">
        <v>740</v>
      </c>
      <c r="J68" s="65" t="s">
        <v>741</v>
      </c>
    </row>
    <row r="69" customFormat="false" ht="39.75" hidden="false" customHeight="true" outlineLevel="0" collapsed="false">
      <c r="A69" s="63" t="s">
        <v>737</v>
      </c>
      <c r="B69" s="63" t="s">
        <v>699</v>
      </c>
      <c r="C69" s="70" t="s">
        <v>623</v>
      </c>
      <c r="D69" s="65" t="s">
        <v>104</v>
      </c>
      <c r="E69" s="65" t="s">
        <v>742</v>
      </c>
      <c r="F69" s="67" t="s">
        <v>625</v>
      </c>
      <c r="G69" s="66" t="s">
        <v>743</v>
      </c>
      <c r="H69" s="65" t="s">
        <v>702</v>
      </c>
      <c r="I69" s="66" t="s">
        <v>703</v>
      </c>
      <c r="J69" s="65" t="s">
        <v>704</v>
      </c>
    </row>
    <row r="70" customFormat="false" ht="39.75" hidden="false" customHeight="true" outlineLevel="0" collapsed="false">
      <c r="A70" s="63" t="s">
        <v>744</v>
      </c>
      <c r="B70" s="63" t="s">
        <v>699</v>
      </c>
      <c r="C70" s="70" t="s">
        <v>623</v>
      </c>
      <c r="D70" s="65" t="s">
        <v>104</v>
      </c>
      <c r="E70" s="66" t="s">
        <v>745</v>
      </c>
      <c r="F70" s="67" t="s">
        <v>625</v>
      </c>
      <c r="G70" s="66" t="s">
        <v>636</v>
      </c>
      <c r="H70" s="65" t="s">
        <v>702</v>
      </c>
      <c r="I70" s="66" t="s">
        <v>703</v>
      </c>
      <c r="J70" s="65" t="s">
        <v>704</v>
      </c>
    </row>
    <row r="71" customFormat="false" ht="39.75" hidden="false" customHeight="true" outlineLevel="0" collapsed="false">
      <c r="A71" s="63" t="s">
        <v>744</v>
      </c>
      <c r="B71" s="63" t="s">
        <v>746</v>
      </c>
      <c r="C71" s="70" t="s">
        <v>623</v>
      </c>
      <c r="D71" s="65" t="s">
        <v>747</v>
      </c>
      <c r="E71" s="66" t="s">
        <v>748</v>
      </c>
      <c r="F71" s="67" t="s">
        <v>625</v>
      </c>
      <c r="G71" s="66" t="s">
        <v>749</v>
      </c>
      <c r="H71" s="65" t="s">
        <v>750</v>
      </c>
      <c r="I71" s="65" t="s">
        <v>751</v>
      </c>
      <c r="J71" s="65" t="s">
        <v>752</v>
      </c>
    </row>
    <row r="72" customFormat="false" ht="39.75" hidden="false" customHeight="true" outlineLevel="0" collapsed="false">
      <c r="A72" s="63" t="s">
        <v>753</v>
      </c>
      <c r="B72" s="63" t="s">
        <v>746</v>
      </c>
      <c r="C72" s="70" t="s">
        <v>623</v>
      </c>
      <c r="D72" s="65" t="s">
        <v>106</v>
      </c>
      <c r="E72" s="65" t="s">
        <v>754</v>
      </c>
      <c r="F72" s="67" t="s">
        <v>625</v>
      </c>
      <c r="G72" s="66" t="s">
        <v>755</v>
      </c>
      <c r="H72" s="66" t="s">
        <v>756</v>
      </c>
      <c r="I72" s="65" t="s">
        <v>757</v>
      </c>
      <c r="J72" s="65" t="s">
        <v>758</v>
      </c>
    </row>
    <row r="73" customFormat="false" ht="39.75" hidden="false" customHeight="true" outlineLevel="0" collapsed="false">
      <c r="A73" s="63" t="s">
        <v>753</v>
      </c>
      <c r="B73" s="63" t="s">
        <v>746</v>
      </c>
      <c r="C73" s="70" t="s">
        <v>623</v>
      </c>
      <c r="D73" s="65" t="s">
        <v>106</v>
      </c>
      <c r="E73" s="65" t="s">
        <v>759</v>
      </c>
      <c r="F73" s="67" t="s">
        <v>625</v>
      </c>
      <c r="G73" s="66" t="s">
        <v>755</v>
      </c>
      <c r="H73" s="66" t="s">
        <v>760</v>
      </c>
      <c r="I73" s="65" t="s">
        <v>761</v>
      </c>
      <c r="J73" s="65" t="s">
        <v>762</v>
      </c>
    </row>
    <row r="74" customFormat="false" ht="39.75" hidden="false" customHeight="true" outlineLevel="0" collapsed="false">
      <c r="A74" s="63" t="s">
        <v>763</v>
      </c>
      <c r="B74" s="63" t="s">
        <v>746</v>
      </c>
      <c r="C74" s="70" t="s">
        <v>623</v>
      </c>
      <c r="D74" s="65" t="s">
        <v>106</v>
      </c>
      <c r="E74" s="66" t="s">
        <v>764</v>
      </c>
      <c r="F74" s="67" t="s">
        <v>625</v>
      </c>
      <c r="G74" s="66" t="s">
        <v>662</v>
      </c>
      <c r="H74" s="66" t="s">
        <v>756</v>
      </c>
      <c r="I74" s="65" t="s">
        <v>757</v>
      </c>
      <c r="J74" s="65" t="s">
        <v>758</v>
      </c>
    </row>
    <row r="75" customFormat="false" ht="39.75" hidden="false" customHeight="true" outlineLevel="0" collapsed="false">
      <c r="A75" s="63" t="s">
        <v>765</v>
      </c>
      <c r="B75" s="63" t="s">
        <v>644</v>
      </c>
      <c r="C75" s="70" t="s">
        <v>623</v>
      </c>
      <c r="D75" s="65" t="s">
        <v>120</v>
      </c>
      <c r="E75" s="66" t="s">
        <v>766</v>
      </c>
      <c r="F75" s="67" t="s">
        <v>625</v>
      </c>
      <c r="G75" s="66" t="s">
        <v>636</v>
      </c>
      <c r="H75" s="66" t="s">
        <v>647</v>
      </c>
      <c r="I75" s="65" t="s">
        <v>648</v>
      </c>
      <c r="J75" s="65" t="s">
        <v>649</v>
      </c>
    </row>
    <row r="76" customFormat="false" ht="39.75" hidden="false" customHeight="true" outlineLevel="0" collapsed="false">
      <c r="A76" s="63" t="s">
        <v>765</v>
      </c>
      <c r="B76" s="63" t="s">
        <v>644</v>
      </c>
      <c r="C76" s="70" t="s">
        <v>623</v>
      </c>
      <c r="D76" s="65" t="s">
        <v>120</v>
      </c>
      <c r="E76" s="66" t="s">
        <v>767</v>
      </c>
      <c r="F76" s="67" t="s">
        <v>625</v>
      </c>
      <c r="G76" s="66" t="s">
        <v>768</v>
      </c>
      <c r="H76" s="66" t="s">
        <v>647</v>
      </c>
      <c r="I76" s="65" t="s">
        <v>648</v>
      </c>
      <c r="J76" s="65" t="s">
        <v>649</v>
      </c>
    </row>
    <row r="77" customFormat="false" ht="39.75" hidden="false" customHeight="true" outlineLevel="0" collapsed="false">
      <c r="A77" s="63" t="s">
        <v>765</v>
      </c>
      <c r="B77" s="63" t="s">
        <v>746</v>
      </c>
      <c r="C77" s="70" t="s">
        <v>623</v>
      </c>
      <c r="D77" s="65" t="s">
        <v>747</v>
      </c>
      <c r="E77" s="65" t="s">
        <v>769</v>
      </c>
      <c r="F77" s="67" t="s">
        <v>625</v>
      </c>
      <c r="G77" s="66" t="s">
        <v>636</v>
      </c>
      <c r="H77" s="65" t="s">
        <v>750</v>
      </c>
      <c r="I77" s="65" t="s">
        <v>751</v>
      </c>
      <c r="J77" s="65" t="s">
        <v>752</v>
      </c>
    </row>
    <row r="78" customFormat="false" ht="39.75" hidden="false" customHeight="true" outlineLevel="0" collapsed="false">
      <c r="A78" s="63" t="s">
        <v>765</v>
      </c>
      <c r="B78" s="63" t="s">
        <v>770</v>
      </c>
      <c r="C78" s="71" t="s">
        <v>645</v>
      </c>
      <c r="D78" s="65" t="s">
        <v>116</v>
      </c>
      <c r="E78" s="65" t="s">
        <v>771</v>
      </c>
      <c r="F78" s="67" t="s">
        <v>532</v>
      </c>
      <c r="G78" s="66" t="s">
        <v>711</v>
      </c>
      <c r="H78" s="66" t="s">
        <v>712</v>
      </c>
      <c r="I78" s="65" t="s">
        <v>713</v>
      </c>
      <c r="J78" s="65" t="s">
        <v>714</v>
      </c>
    </row>
    <row r="79" customFormat="false" ht="39.75" hidden="false" customHeight="true" outlineLevel="0" collapsed="false">
      <c r="A79" s="63" t="s">
        <v>772</v>
      </c>
      <c r="B79" s="63" t="s">
        <v>746</v>
      </c>
      <c r="C79" s="71" t="s">
        <v>645</v>
      </c>
      <c r="D79" s="65" t="s">
        <v>747</v>
      </c>
      <c r="E79" s="65" t="s">
        <v>773</v>
      </c>
      <c r="F79" s="67" t="s">
        <v>532</v>
      </c>
      <c r="G79" s="66" t="s">
        <v>774</v>
      </c>
      <c r="H79" s="66" t="s">
        <v>775</v>
      </c>
      <c r="I79" s="66" t="s">
        <v>776</v>
      </c>
      <c r="J79" s="66" t="s">
        <v>777</v>
      </c>
    </row>
    <row r="80" customFormat="false" ht="39.75" hidden="false" customHeight="true" outlineLevel="0" collapsed="false">
      <c r="A80" s="63" t="s">
        <v>772</v>
      </c>
      <c r="B80" s="63" t="s">
        <v>746</v>
      </c>
      <c r="C80" s="70" t="s">
        <v>623</v>
      </c>
      <c r="D80" s="65" t="s">
        <v>747</v>
      </c>
      <c r="E80" s="65" t="s">
        <v>314</v>
      </c>
      <c r="F80" s="67" t="s">
        <v>625</v>
      </c>
      <c r="G80" s="66" t="s">
        <v>778</v>
      </c>
      <c r="H80" s="65" t="s">
        <v>750</v>
      </c>
      <c r="I80" s="65" t="s">
        <v>751</v>
      </c>
      <c r="J80" s="65" t="s">
        <v>752</v>
      </c>
    </row>
    <row r="81" customFormat="false" ht="39.75" hidden="false" customHeight="true" outlineLevel="0" collapsed="false">
      <c r="A81" s="63" t="s">
        <v>772</v>
      </c>
      <c r="B81" s="63" t="s">
        <v>770</v>
      </c>
      <c r="C81" s="71" t="s">
        <v>645</v>
      </c>
      <c r="D81" s="65" t="s">
        <v>110</v>
      </c>
      <c r="E81" s="65" t="s">
        <v>779</v>
      </c>
      <c r="F81" s="67" t="s">
        <v>532</v>
      </c>
      <c r="G81" s="66" t="s">
        <v>780</v>
      </c>
      <c r="H81" s="65" t="s">
        <v>616</v>
      </c>
      <c r="I81" s="66" t="s">
        <v>617</v>
      </c>
      <c r="J81" s="65" t="s">
        <v>618</v>
      </c>
    </row>
    <row r="82" customFormat="false" ht="39.75" hidden="false" customHeight="true" outlineLevel="0" collapsed="false">
      <c r="A82" s="63" t="s">
        <v>772</v>
      </c>
      <c r="B82" s="63" t="s">
        <v>770</v>
      </c>
      <c r="C82" s="70" t="s">
        <v>623</v>
      </c>
      <c r="D82" s="65" t="s">
        <v>110</v>
      </c>
      <c r="E82" s="65" t="s">
        <v>325</v>
      </c>
      <c r="F82" s="67" t="s">
        <v>625</v>
      </c>
      <c r="G82" s="66" t="s">
        <v>636</v>
      </c>
      <c r="H82" s="65" t="s">
        <v>781</v>
      </c>
      <c r="I82" s="65" t="s">
        <v>782</v>
      </c>
      <c r="J82" s="65" t="s">
        <v>783</v>
      </c>
    </row>
    <row r="83" customFormat="false" ht="39.75" hidden="false" customHeight="true" outlineLevel="0" collapsed="false">
      <c r="A83" s="63" t="s">
        <v>784</v>
      </c>
      <c r="B83" s="63" t="s">
        <v>746</v>
      </c>
      <c r="C83" s="70" t="s">
        <v>623</v>
      </c>
      <c r="D83" s="65" t="s">
        <v>747</v>
      </c>
      <c r="E83" s="65" t="s">
        <v>785</v>
      </c>
      <c r="F83" s="67" t="s">
        <v>625</v>
      </c>
      <c r="G83" s="66" t="s">
        <v>786</v>
      </c>
      <c r="H83" s="65" t="s">
        <v>750</v>
      </c>
      <c r="I83" s="65" t="s">
        <v>751</v>
      </c>
      <c r="J83" s="65" t="s">
        <v>752</v>
      </c>
    </row>
    <row r="84" customFormat="false" ht="39.75" hidden="false" customHeight="true" outlineLevel="0" collapsed="false">
      <c r="A84" s="63" t="s">
        <v>784</v>
      </c>
      <c r="B84" s="63" t="s">
        <v>746</v>
      </c>
      <c r="C84" s="70" t="s">
        <v>623</v>
      </c>
      <c r="D84" s="65" t="s">
        <v>747</v>
      </c>
      <c r="E84" s="65" t="s">
        <v>787</v>
      </c>
      <c r="F84" s="67" t="s">
        <v>625</v>
      </c>
      <c r="G84" s="66" t="s">
        <v>749</v>
      </c>
      <c r="H84" s="65" t="s">
        <v>750</v>
      </c>
      <c r="I84" s="65" t="s">
        <v>751</v>
      </c>
      <c r="J84" s="65" t="s">
        <v>752</v>
      </c>
    </row>
    <row r="85" customFormat="false" ht="39.75" hidden="false" customHeight="true" outlineLevel="0" collapsed="false">
      <c r="A85" s="63" t="s">
        <v>784</v>
      </c>
      <c r="B85" s="63" t="s">
        <v>746</v>
      </c>
      <c r="C85" s="71" t="s">
        <v>645</v>
      </c>
      <c r="D85" s="65" t="s">
        <v>747</v>
      </c>
      <c r="E85" s="65" t="s">
        <v>788</v>
      </c>
      <c r="F85" s="67" t="s">
        <v>532</v>
      </c>
      <c r="G85" s="66" t="s">
        <v>749</v>
      </c>
      <c r="H85" s="65" t="s">
        <v>750</v>
      </c>
      <c r="I85" s="65" t="s">
        <v>751</v>
      </c>
      <c r="J85" s="65" t="s">
        <v>752</v>
      </c>
    </row>
    <row r="86" customFormat="false" ht="39.75" hidden="false" customHeight="true" outlineLevel="0" collapsed="false">
      <c r="A86" s="63" t="s">
        <v>784</v>
      </c>
      <c r="B86" s="63" t="s">
        <v>746</v>
      </c>
      <c r="C86" s="68" t="s">
        <v>588</v>
      </c>
      <c r="D86" s="65" t="s">
        <v>747</v>
      </c>
      <c r="E86" s="66" t="s">
        <v>789</v>
      </c>
      <c r="F86" s="67" t="s">
        <v>538</v>
      </c>
      <c r="G86" s="66" t="s">
        <v>615</v>
      </c>
      <c r="H86" s="65" t="s">
        <v>750</v>
      </c>
      <c r="I86" s="65" t="s">
        <v>751</v>
      </c>
      <c r="J86" s="65" t="s">
        <v>752</v>
      </c>
    </row>
    <row r="87" customFormat="false" ht="39.75" hidden="false" customHeight="true" outlineLevel="0" collapsed="false">
      <c r="A87" s="63" t="s">
        <v>790</v>
      </c>
      <c r="B87" s="63" t="s">
        <v>770</v>
      </c>
      <c r="C87" s="70" t="s">
        <v>623</v>
      </c>
      <c r="D87" s="65" t="s">
        <v>112</v>
      </c>
      <c r="E87" s="66" t="s">
        <v>791</v>
      </c>
      <c r="F87" s="67" t="s">
        <v>625</v>
      </c>
      <c r="G87" s="66" t="s">
        <v>792</v>
      </c>
      <c r="H87" s="66" t="s">
        <v>793</v>
      </c>
      <c r="I87" s="65" t="s">
        <v>794</v>
      </c>
      <c r="J87" s="65" t="s">
        <v>795</v>
      </c>
    </row>
    <row r="88" customFormat="false" ht="39.75" hidden="false" customHeight="true" outlineLevel="0" collapsed="false">
      <c r="A88" s="63" t="s">
        <v>790</v>
      </c>
      <c r="B88" s="63" t="s">
        <v>770</v>
      </c>
      <c r="C88" s="71" t="s">
        <v>645</v>
      </c>
      <c r="D88" s="65" t="s">
        <v>110</v>
      </c>
      <c r="E88" s="65" t="s">
        <v>796</v>
      </c>
      <c r="F88" s="67" t="s">
        <v>532</v>
      </c>
      <c r="G88" s="66" t="s">
        <v>797</v>
      </c>
      <c r="H88" s="65" t="s">
        <v>781</v>
      </c>
      <c r="I88" s="65" t="s">
        <v>782</v>
      </c>
      <c r="J88" s="65" t="s">
        <v>783</v>
      </c>
    </row>
    <row r="89" customFormat="false" ht="39.75" hidden="false" customHeight="true" outlineLevel="0" collapsed="false">
      <c r="A89" s="63" t="s">
        <v>790</v>
      </c>
      <c r="B89" s="63" t="s">
        <v>770</v>
      </c>
      <c r="C89" s="70" t="s">
        <v>623</v>
      </c>
      <c r="D89" s="65" t="s">
        <v>110</v>
      </c>
      <c r="E89" s="66" t="s">
        <v>798</v>
      </c>
      <c r="F89" s="67" t="s">
        <v>625</v>
      </c>
      <c r="G89" s="66" t="s">
        <v>797</v>
      </c>
      <c r="H89" s="65" t="s">
        <v>781</v>
      </c>
      <c r="I89" s="65" t="s">
        <v>782</v>
      </c>
      <c r="J89" s="65" t="s">
        <v>783</v>
      </c>
    </row>
    <row r="90" customFormat="false" ht="39.75" hidden="false" customHeight="true" outlineLevel="0" collapsed="false">
      <c r="A90" s="63" t="s">
        <v>790</v>
      </c>
      <c r="B90" s="63" t="s">
        <v>770</v>
      </c>
      <c r="C90" s="70" t="s">
        <v>623</v>
      </c>
      <c r="D90" s="65" t="s">
        <v>110</v>
      </c>
      <c r="E90" s="66" t="s">
        <v>799</v>
      </c>
      <c r="F90" s="67" t="s">
        <v>625</v>
      </c>
      <c r="G90" s="66" t="s">
        <v>800</v>
      </c>
      <c r="H90" s="65" t="s">
        <v>781</v>
      </c>
      <c r="I90" s="65" t="s">
        <v>782</v>
      </c>
      <c r="J90" s="65" t="s">
        <v>783</v>
      </c>
    </row>
    <row r="91" customFormat="false" ht="39.75" hidden="false" customHeight="true" outlineLevel="0" collapsed="false">
      <c r="A91" s="63" t="s">
        <v>790</v>
      </c>
      <c r="B91" s="63" t="s">
        <v>770</v>
      </c>
      <c r="C91" s="70" t="s">
        <v>623</v>
      </c>
      <c r="D91" s="65" t="s">
        <v>110</v>
      </c>
      <c r="E91" s="66" t="s">
        <v>801</v>
      </c>
      <c r="F91" s="67" t="s">
        <v>625</v>
      </c>
      <c r="G91" s="66" t="s">
        <v>800</v>
      </c>
      <c r="H91" s="65" t="s">
        <v>781</v>
      </c>
      <c r="I91" s="65" t="s">
        <v>782</v>
      </c>
      <c r="J91" s="65" t="s">
        <v>783</v>
      </c>
    </row>
    <row r="92" customFormat="false" ht="39.75" hidden="false" customHeight="true" outlineLevel="0" collapsed="false">
      <c r="A92" s="63" t="s">
        <v>790</v>
      </c>
      <c r="B92" s="63" t="s">
        <v>770</v>
      </c>
      <c r="C92" s="70" t="s">
        <v>623</v>
      </c>
      <c r="D92" s="65" t="s">
        <v>110</v>
      </c>
      <c r="E92" s="65" t="s">
        <v>802</v>
      </c>
      <c r="F92" s="67" t="s">
        <v>625</v>
      </c>
      <c r="G92" s="66" t="s">
        <v>797</v>
      </c>
      <c r="H92" s="65" t="s">
        <v>781</v>
      </c>
      <c r="I92" s="65" t="s">
        <v>782</v>
      </c>
      <c r="J92" s="65" t="s">
        <v>783</v>
      </c>
    </row>
    <row r="93" customFormat="false" ht="39.75" hidden="false" customHeight="true" outlineLevel="0" collapsed="false">
      <c r="A93" s="63" t="s">
        <v>790</v>
      </c>
      <c r="B93" s="63" t="s">
        <v>770</v>
      </c>
      <c r="C93" s="70" t="s">
        <v>623</v>
      </c>
      <c r="D93" s="65" t="s">
        <v>110</v>
      </c>
      <c r="E93" s="65" t="s">
        <v>803</v>
      </c>
      <c r="F93" s="67" t="s">
        <v>625</v>
      </c>
      <c r="G93" s="66" t="s">
        <v>804</v>
      </c>
      <c r="H93" s="65" t="s">
        <v>616</v>
      </c>
      <c r="I93" s="66" t="s">
        <v>617</v>
      </c>
      <c r="J93" s="65" t="s">
        <v>618</v>
      </c>
    </row>
    <row r="94" customFormat="false" ht="39.75" hidden="false" customHeight="true" outlineLevel="0" collapsed="false">
      <c r="A94" s="63" t="s">
        <v>805</v>
      </c>
      <c r="B94" s="63" t="s">
        <v>770</v>
      </c>
      <c r="C94" s="70" t="s">
        <v>623</v>
      </c>
      <c r="D94" s="65" t="s">
        <v>110</v>
      </c>
      <c r="E94" s="65" t="s">
        <v>806</v>
      </c>
      <c r="F94" s="67" t="s">
        <v>625</v>
      </c>
      <c r="G94" s="66" t="s">
        <v>797</v>
      </c>
      <c r="H94" s="65" t="s">
        <v>781</v>
      </c>
      <c r="I94" s="65" t="s">
        <v>782</v>
      </c>
      <c r="J94" s="65" t="s">
        <v>783</v>
      </c>
    </row>
    <row r="95" customFormat="false" ht="39.75" hidden="false" customHeight="true" outlineLevel="0" collapsed="false">
      <c r="A95" s="63" t="s">
        <v>805</v>
      </c>
      <c r="B95" s="63" t="s">
        <v>770</v>
      </c>
      <c r="C95" s="70" t="s">
        <v>623</v>
      </c>
      <c r="D95" s="65" t="s">
        <v>112</v>
      </c>
      <c r="E95" s="65" t="s">
        <v>807</v>
      </c>
      <c r="F95" s="67" t="s">
        <v>625</v>
      </c>
      <c r="G95" s="66" t="s">
        <v>808</v>
      </c>
      <c r="H95" s="66" t="s">
        <v>793</v>
      </c>
      <c r="I95" s="65" t="s">
        <v>794</v>
      </c>
      <c r="J95" s="65" t="s">
        <v>795</v>
      </c>
    </row>
    <row r="96" customFormat="false" ht="39.75" hidden="false" customHeight="true" outlineLevel="0" collapsed="false">
      <c r="A96" s="63" t="s">
        <v>805</v>
      </c>
      <c r="B96" s="63" t="s">
        <v>770</v>
      </c>
      <c r="C96" s="71" t="s">
        <v>645</v>
      </c>
      <c r="D96" s="65" t="s">
        <v>112</v>
      </c>
      <c r="E96" s="65" t="s">
        <v>809</v>
      </c>
      <c r="F96" s="67" t="s">
        <v>532</v>
      </c>
      <c r="G96" s="66" t="s">
        <v>672</v>
      </c>
      <c r="H96" s="66" t="s">
        <v>793</v>
      </c>
      <c r="I96" s="65" t="s">
        <v>794</v>
      </c>
      <c r="J96" s="65" t="s">
        <v>795</v>
      </c>
    </row>
    <row r="97" customFormat="false" ht="39.75" hidden="false" customHeight="true" outlineLevel="0" collapsed="false">
      <c r="A97" s="63" t="s">
        <v>805</v>
      </c>
      <c r="B97" s="63" t="s">
        <v>770</v>
      </c>
      <c r="C97" s="71" t="s">
        <v>645</v>
      </c>
      <c r="D97" s="65" t="s">
        <v>810</v>
      </c>
      <c r="E97" s="66" t="s">
        <v>811</v>
      </c>
      <c r="F97" s="67" t="s">
        <v>532</v>
      </c>
      <c r="G97" s="66" t="s">
        <v>812</v>
      </c>
      <c r="H97" s="66" t="s">
        <v>732</v>
      </c>
      <c r="I97" s="66" t="s">
        <v>733</v>
      </c>
      <c r="J97" s="65" t="s">
        <v>734</v>
      </c>
    </row>
    <row r="98" customFormat="false" ht="39.75" hidden="false" customHeight="true" outlineLevel="0" collapsed="false">
      <c r="A98" s="63" t="s">
        <v>805</v>
      </c>
      <c r="B98" s="63" t="s">
        <v>770</v>
      </c>
      <c r="C98" s="70" t="s">
        <v>623</v>
      </c>
      <c r="D98" s="65" t="s">
        <v>810</v>
      </c>
      <c r="E98" s="65" t="s">
        <v>349</v>
      </c>
      <c r="F98" s="67" t="s">
        <v>625</v>
      </c>
      <c r="G98" s="66" t="s">
        <v>662</v>
      </c>
      <c r="H98" s="66" t="s">
        <v>813</v>
      </c>
      <c r="I98" s="65" t="s">
        <v>814</v>
      </c>
      <c r="J98" s="65" t="s">
        <v>815</v>
      </c>
    </row>
    <row r="99" customFormat="false" ht="39.75" hidden="false" customHeight="true" outlineLevel="0" collapsed="false">
      <c r="A99" s="63" t="s">
        <v>805</v>
      </c>
      <c r="B99" s="63" t="s">
        <v>770</v>
      </c>
      <c r="C99" s="70" t="s">
        <v>623</v>
      </c>
      <c r="D99" s="65" t="s">
        <v>810</v>
      </c>
      <c r="E99" s="65" t="s">
        <v>816</v>
      </c>
      <c r="F99" s="67" t="s">
        <v>625</v>
      </c>
      <c r="G99" s="66" t="s">
        <v>812</v>
      </c>
      <c r="H99" s="65" t="s">
        <v>616</v>
      </c>
      <c r="I99" s="66" t="s">
        <v>617</v>
      </c>
      <c r="J99" s="65" t="s">
        <v>618</v>
      </c>
    </row>
    <row r="100" customFormat="false" ht="39.75" hidden="false" customHeight="true" outlineLevel="0" collapsed="false">
      <c r="A100" s="63" t="s">
        <v>805</v>
      </c>
      <c r="B100" s="63" t="s">
        <v>770</v>
      </c>
      <c r="C100" s="70" t="s">
        <v>623</v>
      </c>
      <c r="D100" s="65" t="s">
        <v>110</v>
      </c>
      <c r="E100" s="65" t="s">
        <v>817</v>
      </c>
      <c r="F100" s="67" t="s">
        <v>625</v>
      </c>
      <c r="G100" s="66" t="s">
        <v>818</v>
      </c>
      <c r="H100" s="65" t="s">
        <v>616</v>
      </c>
      <c r="I100" s="66" t="s">
        <v>617</v>
      </c>
      <c r="J100" s="65" t="s">
        <v>618</v>
      </c>
    </row>
    <row r="101" customFormat="false" ht="39.75" hidden="false" customHeight="true" outlineLevel="0" collapsed="false">
      <c r="A101" s="63" t="s">
        <v>819</v>
      </c>
      <c r="B101" s="63" t="s">
        <v>644</v>
      </c>
      <c r="C101" s="71" t="s">
        <v>645</v>
      </c>
      <c r="D101" s="65" t="s">
        <v>120</v>
      </c>
      <c r="E101" s="66" t="s">
        <v>820</v>
      </c>
      <c r="F101" s="67" t="s">
        <v>532</v>
      </c>
      <c r="G101" s="66" t="s">
        <v>636</v>
      </c>
      <c r="H101" s="66" t="s">
        <v>647</v>
      </c>
      <c r="I101" s="65" t="s">
        <v>648</v>
      </c>
      <c r="J101" s="65" t="s">
        <v>649</v>
      </c>
    </row>
    <row r="102" customFormat="false" ht="39.75" hidden="false" customHeight="true" outlineLevel="0" collapsed="false">
      <c r="A102" s="63" t="s">
        <v>819</v>
      </c>
      <c r="B102" s="63" t="s">
        <v>770</v>
      </c>
      <c r="C102" s="70" t="s">
        <v>623</v>
      </c>
      <c r="D102" s="65" t="s">
        <v>112</v>
      </c>
      <c r="E102" s="65" t="s">
        <v>821</v>
      </c>
      <c r="F102" s="67" t="s">
        <v>625</v>
      </c>
      <c r="G102" s="66" t="s">
        <v>808</v>
      </c>
      <c r="H102" s="65" t="s">
        <v>822</v>
      </c>
      <c r="I102" s="65" t="s">
        <v>823</v>
      </c>
      <c r="J102" s="65" t="s">
        <v>824</v>
      </c>
    </row>
    <row r="103" customFormat="false" ht="39.75" hidden="false" customHeight="true" outlineLevel="0" collapsed="false">
      <c r="A103" s="63" t="s">
        <v>819</v>
      </c>
      <c r="B103" s="63" t="s">
        <v>770</v>
      </c>
      <c r="C103" s="70" t="s">
        <v>623</v>
      </c>
      <c r="D103" s="65" t="s">
        <v>112</v>
      </c>
      <c r="E103" s="65" t="s">
        <v>825</v>
      </c>
      <c r="F103" s="67" t="s">
        <v>625</v>
      </c>
      <c r="G103" s="66" t="s">
        <v>720</v>
      </c>
      <c r="H103" s="66" t="s">
        <v>793</v>
      </c>
      <c r="I103" s="65" t="s">
        <v>794</v>
      </c>
      <c r="J103" s="65" t="s">
        <v>795</v>
      </c>
    </row>
    <row r="104" customFormat="false" ht="39.75" hidden="false" customHeight="true" outlineLevel="0" collapsed="false">
      <c r="A104" s="63" t="s">
        <v>819</v>
      </c>
      <c r="B104" s="63" t="s">
        <v>770</v>
      </c>
      <c r="C104" s="71" t="s">
        <v>645</v>
      </c>
      <c r="D104" s="65" t="s">
        <v>116</v>
      </c>
      <c r="E104" s="65" t="s">
        <v>826</v>
      </c>
      <c r="F104" s="67" t="s">
        <v>532</v>
      </c>
      <c r="G104" s="66" t="s">
        <v>827</v>
      </c>
      <c r="H104" s="65" t="s">
        <v>828</v>
      </c>
      <c r="I104" s="65" t="s">
        <v>829</v>
      </c>
      <c r="J104" s="66" t="s">
        <v>830</v>
      </c>
    </row>
    <row r="105" customFormat="false" ht="39.75" hidden="false" customHeight="true" outlineLevel="0" collapsed="false">
      <c r="A105" s="63" t="s">
        <v>819</v>
      </c>
      <c r="B105" s="63" t="s">
        <v>770</v>
      </c>
      <c r="C105" s="71" t="s">
        <v>645</v>
      </c>
      <c r="D105" s="65" t="s">
        <v>116</v>
      </c>
      <c r="E105" s="65" t="s">
        <v>831</v>
      </c>
      <c r="F105" s="67" t="s">
        <v>532</v>
      </c>
      <c r="G105" s="66" t="s">
        <v>827</v>
      </c>
      <c r="H105" s="65" t="s">
        <v>828</v>
      </c>
      <c r="I105" s="65" t="s">
        <v>829</v>
      </c>
      <c r="J105" s="66" t="s">
        <v>830</v>
      </c>
    </row>
    <row r="106" customFormat="false" ht="39.75" hidden="false" customHeight="true" outlineLevel="0" collapsed="false">
      <c r="A106" s="63" t="s">
        <v>819</v>
      </c>
      <c r="B106" s="63" t="s">
        <v>770</v>
      </c>
      <c r="C106" s="70" t="s">
        <v>623</v>
      </c>
      <c r="D106" s="65" t="s">
        <v>116</v>
      </c>
      <c r="E106" s="66" t="s">
        <v>832</v>
      </c>
      <c r="F106" s="67" t="s">
        <v>625</v>
      </c>
      <c r="G106" s="66" t="s">
        <v>833</v>
      </c>
      <c r="H106" s="65" t="s">
        <v>828</v>
      </c>
      <c r="I106" s="65" t="s">
        <v>829</v>
      </c>
      <c r="J106" s="66" t="s">
        <v>830</v>
      </c>
    </row>
    <row r="107" customFormat="false" ht="39.75" hidden="false" customHeight="true" outlineLevel="0" collapsed="false">
      <c r="A107" s="63" t="s">
        <v>819</v>
      </c>
      <c r="B107" s="63" t="s">
        <v>770</v>
      </c>
      <c r="C107" s="70" t="s">
        <v>623</v>
      </c>
      <c r="D107" s="65" t="s">
        <v>116</v>
      </c>
      <c r="E107" s="66" t="s">
        <v>834</v>
      </c>
      <c r="F107" s="67" t="s">
        <v>625</v>
      </c>
      <c r="G107" s="66" t="s">
        <v>636</v>
      </c>
      <c r="H107" s="65" t="s">
        <v>616</v>
      </c>
      <c r="I107" s="66" t="s">
        <v>617</v>
      </c>
      <c r="J107" s="65" t="s">
        <v>618</v>
      </c>
    </row>
    <row r="108" customFormat="false" ht="39.75" hidden="false" customHeight="true" outlineLevel="0" collapsed="false">
      <c r="A108" s="63" t="s">
        <v>819</v>
      </c>
      <c r="B108" s="63" t="s">
        <v>644</v>
      </c>
      <c r="C108" s="71" t="s">
        <v>645</v>
      </c>
      <c r="D108" s="65" t="s">
        <v>120</v>
      </c>
      <c r="E108" s="65" t="s">
        <v>835</v>
      </c>
      <c r="F108" s="67" t="s">
        <v>532</v>
      </c>
      <c r="G108" s="66" t="s">
        <v>836</v>
      </c>
      <c r="H108" s="66" t="s">
        <v>647</v>
      </c>
      <c r="I108" s="65" t="s">
        <v>648</v>
      </c>
      <c r="J108" s="65" t="s">
        <v>649</v>
      </c>
    </row>
    <row r="109" customFormat="false" ht="39.75" hidden="false" customHeight="true" outlineLevel="0" collapsed="false">
      <c r="A109" s="63" t="s">
        <v>837</v>
      </c>
      <c r="B109" s="63" t="s">
        <v>838</v>
      </c>
      <c r="C109" s="70" t="s">
        <v>623</v>
      </c>
      <c r="D109" s="65" t="s">
        <v>839</v>
      </c>
      <c r="E109" s="65" t="s">
        <v>840</v>
      </c>
      <c r="F109" s="67" t="s">
        <v>625</v>
      </c>
      <c r="G109" s="66" t="s">
        <v>841</v>
      </c>
      <c r="H109" s="65" t="s">
        <v>616</v>
      </c>
      <c r="I109" s="66" t="s">
        <v>617</v>
      </c>
      <c r="J109" s="65" t="s">
        <v>618</v>
      </c>
    </row>
    <row r="110" customFormat="false" ht="39.75" hidden="false" customHeight="true" outlineLevel="0" collapsed="false">
      <c r="A110" s="63" t="s">
        <v>837</v>
      </c>
      <c r="B110" s="63" t="s">
        <v>838</v>
      </c>
      <c r="C110" s="70" t="s">
        <v>623</v>
      </c>
      <c r="D110" s="65" t="s">
        <v>839</v>
      </c>
      <c r="E110" s="65" t="s">
        <v>842</v>
      </c>
      <c r="F110" s="67" t="s">
        <v>625</v>
      </c>
      <c r="G110" s="66" t="s">
        <v>672</v>
      </c>
      <c r="H110" s="65" t="s">
        <v>843</v>
      </c>
      <c r="I110" s="65" t="s">
        <v>844</v>
      </c>
      <c r="J110" s="65" t="s">
        <v>845</v>
      </c>
    </row>
    <row r="111" customFormat="false" ht="39.75" hidden="false" customHeight="true" outlineLevel="0" collapsed="false">
      <c r="A111" s="63" t="s">
        <v>837</v>
      </c>
      <c r="B111" s="63" t="s">
        <v>838</v>
      </c>
      <c r="C111" s="70" t="s">
        <v>623</v>
      </c>
      <c r="D111" s="65" t="s">
        <v>839</v>
      </c>
      <c r="E111" s="65" t="s">
        <v>846</v>
      </c>
      <c r="F111" s="67" t="s">
        <v>625</v>
      </c>
      <c r="G111" s="66" t="s">
        <v>847</v>
      </c>
      <c r="H111" s="65" t="s">
        <v>843</v>
      </c>
      <c r="I111" s="65" t="s">
        <v>844</v>
      </c>
      <c r="J111" s="65" t="s">
        <v>845</v>
      </c>
    </row>
    <row r="112" customFormat="false" ht="39.75" hidden="false" customHeight="true" outlineLevel="0" collapsed="false">
      <c r="A112" s="63" t="s">
        <v>837</v>
      </c>
      <c r="B112" s="63" t="s">
        <v>838</v>
      </c>
      <c r="C112" s="70" t="s">
        <v>623</v>
      </c>
      <c r="D112" s="65" t="s">
        <v>839</v>
      </c>
      <c r="E112" s="66" t="s">
        <v>848</v>
      </c>
      <c r="F112" s="67" t="s">
        <v>625</v>
      </c>
      <c r="G112" s="66" t="s">
        <v>755</v>
      </c>
      <c r="H112" s="66" t="s">
        <v>760</v>
      </c>
      <c r="I112" s="65" t="s">
        <v>761</v>
      </c>
      <c r="J112" s="65" t="s">
        <v>762</v>
      </c>
    </row>
    <row r="113" customFormat="false" ht="39.75" hidden="false" customHeight="true" outlineLevel="0" collapsed="false">
      <c r="A113" s="63" t="s">
        <v>837</v>
      </c>
      <c r="B113" s="63" t="s">
        <v>838</v>
      </c>
      <c r="C113" s="71" t="s">
        <v>645</v>
      </c>
      <c r="D113" s="65" t="s">
        <v>839</v>
      </c>
      <c r="E113" s="66" t="s">
        <v>849</v>
      </c>
      <c r="F113" s="67" t="s">
        <v>532</v>
      </c>
      <c r="G113" s="66" t="s">
        <v>850</v>
      </c>
      <c r="H113" s="65" t="s">
        <v>843</v>
      </c>
      <c r="I113" s="65" t="s">
        <v>844</v>
      </c>
      <c r="J113" s="65" t="s">
        <v>845</v>
      </c>
    </row>
    <row r="114" customFormat="false" ht="39.75" hidden="false" customHeight="true" outlineLevel="0" collapsed="false">
      <c r="A114" s="63" t="s">
        <v>837</v>
      </c>
      <c r="B114" s="63" t="s">
        <v>644</v>
      </c>
      <c r="C114" s="70" t="s">
        <v>623</v>
      </c>
      <c r="D114" s="65" t="s">
        <v>120</v>
      </c>
      <c r="E114" s="66" t="s">
        <v>851</v>
      </c>
      <c r="F114" s="67" t="s">
        <v>625</v>
      </c>
      <c r="G114" s="65" t="s">
        <v>852</v>
      </c>
      <c r="H114" s="66" t="s">
        <v>647</v>
      </c>
      <c r="I114" s="65" t="s">
        <v>648</v>
      </c>
      <c r="J114" s="65" t="s">
        <v>649</v>
      </c>
    </row>
    <row r="115" customFormat="false" ht="39.75" hidden="false" customHeight="true" outlineLevel="0" collapsed="false">
      <c r="A115" s="63" t="s">
        <v>837</v>
      </c>
      <c r="B115" s="63" t="s">
        <v>644</v>
      </c>
      <c r="C115" s="68" t="s">
        <v>588</v>
      </c>
      <c r="D115" s="65" t="s">
        <v>120</v>
      </c>
      <c r="E115" s="65" t="s">
        <v>853</v>
      </c>
      <c r="F115" s="67" t="s">
        <v>532</v>
      </c>
      <c r="G115" s="66" t="s">
        <v>590</v>
      </c>
      <c r="H115" s="66" t="s">
        <v>647</v>
      </c>
      <c r="I115" s="65" t="s">
        <v>648</v>
      </c>
      <c r="J115" s="65" t="s">
        <v>649</v>
      </c>
    </row>
    <row r="116" customFormat="false" ht="39.75" hidden="false" customHeight="true" outlineLevel="0" collapsed="false">
      <c r="A116" s="63" t="s">
        <v>854</v>
      </c>
      <c r="B116" s="63" t="s">
        <v>838</v>
      </c>
      <c r="C116" s="70" t="s">
        <v>623</v>
      </c>
      <c r="D116" s="65" t="s">
        <v>839</v>
      </c>
      <c r="E116" s="66" t="s">
        <v>855</v>
      </c>
      <c r="F116" s="67" t="s">
        <v>625</v>
      </c>
      <c r="G116" s="66" t="s">
        <v>856</v>
      </c>
      <c r="H116" s="65" t="s">
        <v>843</v>
      </c>
      <c r="I116" s="65" t="s">
        <v>844</v>
      </c>
      <c r="J116" s="65" t="s">
        <v>845</v>
      </c>
    </row>
    <row r="117" customFormat="false" ht="39.75" hidden="false" customHeight="true" outlineLevel="0" collapsed="false">
      <c r="A117" s="63" t="s">
        <v>854</v>
      </c>
      <c r="B117" s="63" t="s">
        <v>644</v>
      </c>
      <c r="C117" s="70" t="s">
        <v>623</v>
      </c>
      <c r="D117" s="65" t="s">
        <v>120</v>
      </c>
      <c r="E117" s="66" t="s">
        <v>857</v>
      </c>
      <c r="F117" s="67" t="s">
        <v>625</v>
      </c>
      <c r="G117" s="66" t="s">
        <v>858</v>
      </c>
      <c r="H117" s="66" t="s">
        <v>647</v>
      </c>
      <c r="I117" s="65" t="s">
        <v>648</v>
      </c>
      <c r="J117" s="65" t="s">
        <v>649</v>
      </c>
    </row>
    <row r="118" customFormat="false" ht="39.75" hidden="false" customHeight="true" outlineLevel="0" collapsed="false">
      <c r="A118" s="63" t="s">
        <v>854</v>
      </c>
      <c r="B118" s="63" t="s">
        <v>644</v>
      </c>
      <c r="C118" s="70" t="s">
        <v>623</v>
      </c>
      <c r="D118" s="65" t="s">
        <v>120</v>
      </c>
      <c r="E118" s="65" t="s">
        <v>859</v>
      </c>
      <c r="F118" s="67" t="s">
        <v>625</v>
      </c>
      <c r="G118" s="66" t="s">
        <v>860</v>
      </c>
      <c r="H118" s="66" t="s">
        <v>647</v>
      </c>
      <c r="I118" s="65" t="s">
        <v>648</v>
      </c>
      <c r="J118" s="65" t="s">
        <v>649</v>
      </c>
    </row>
    <row r="119" customFormat="false" ht="39.75" hidden="false" customHeight="true" outlineLevel="0" collapsed="false">
      <c r="A119" s="63" t="s">
        <v>854</v>
      </c>
      <c r="B119" s="63" t="s">
        <v>644</v>
      </c>
      <c r="C119" s="70" t="s">
        <v>623</v>
      </c>
      <c r="D119" s="65" t="s">
        <v>120</v>
      </c>
      <c r="E119" s="65" t="s">
        <v>861</v>
      </c>
      <c r="F119" s="67" t="s">
        <v>625</v>
      </c>
      <c r="G119" s="66" t="s">
        <v>836</v>
      </c>
      <c r="H119" s="66" t="s">
        <v>647</v>
      </c>
      <c r="I119" s="65" t="s">
        <v>648</v>
      </c>
      <c r="J119" s="65" t="s">
        <v>649</v>
      </c>
    </row>
    <row r="120" customFormat="false" ht="39.75" hidden="false" customHeight="true" outlineLevel="0" collapsed="false">
      <c r="A120" s="63" t="s">
        <v>854</v>
      </c>
      <c r="B120" s="63" t="s">
        <v>644</v>
      </c>
      <c r="C120" s="71" t="s">
        <v>645</v>
      </c>
      <c r="D120" s="65" t="s">
        <v>120</v>
      </c>
      <c r="E120" s="66" t="s">
        <v>862</v>
      </c>
      <c r="F120" s="67" t="s">
        <v>532</v>
      </c>
      <c r="G120" s="65" t="s">
        <v>863</v>
      </c>
      <c r="H120" s="66" t="s">
        <v>647</v>
      </c>
      <c r="I120" s="65" t="s">
        <v>648</v>
      </c>
      <c r="J120" s="65" t="s">
        <v>649</v>
      </c>
    </row>
    <row r="121" customFormat="false" ht="39.75" hidden="false" customHeight="true" outlineLevel="0" collapsed="false">
      <c r="A121" s="63" t="s">
        <v>864</v>
      </c>
      <c r="B121" s="63" t="s">
        <v>644</v>
      </c>
      <c r="C121" s="70" t="s">
        <v>623</v>
      </c>
      <c r="D121" s="65" t="s">
        <v>120</v>
      </c>
      <c r="E121" s="65" t="s">
        <v>865</v>
      </c>
      <c r="F121" s="67" t="s">
        <v>625</v>
      </c>
      <c r="G121" s="66" t="s">
        <v>636</v>
      </c>
      <c r="H121" s="66" t="s">
        <v>647</v>
      </c>
      <c r="I121" s="65" t="s">
        <v>648</v>
      </c>
      <c r="J121" s="65" t="s">
        <v>649</v>
      </c>
    </row>
    <row r="122" customFormat="false" ht="39.75" hidden="false" customHeight="true" outlineLevel="0" collapsed="false">
      <c r="A122" s="63" t="s">
        <v>864</v>
      </c>
      <c r="B122" s="63" t="s">
        <v>644</v>
      </c>
      <c r="C122" s="71" t="s">
        <v>645</v>
      </c>
      <c r="D122" s="65" t="s">
        <v>120</v>
      </c>
      <c r="E122" s="66" t="s">
        <v>866</v>
      </c>
      <c r="F122" s="67" t="s">
        <v>532</v>
      </c>
      <c r="G122" s="65" t="s">
        <v>867</v>
      </c>
      <c r="H122" s="65" t="s">
        <v>868</v>
      </c>
      <c r="I122" s="65" t="s">
        <v>869</v>
      </c>
      <c r="J122" s="65" t="s">
        <v>870</v>
      </c>
    </row>
    <row r="123" customFormat="false" ht="39.75" hidden="false" customHeight="true" outlineLevel="0" collapsed="false">
      <c r="A123" s="63" t="s">
        <v>864</v>
      </c>
      <c r="B123" s="63" t="s">
        <v>644</v>
      </c>
      <c r="C123" s="70" t="s">
        <v>623</v>
      </c>
      <c r="D123" s="65" t="s">
        <v>120</v>
      </c>
      <c r="E123" s="65" t="s">
        <v>871</v>
      </c>
      <c r="F123" s="67" t="s">
        <v>625</v>
      </c>
      <c r="G123" s="65" t="s">
        <v>872</v>
      </c>
      <c r="H123" s="66" t="s">
        <v>647</v>
      </c>
      <c r="I123" s="65" t="s">
        <v>648</v>
      </c>
      <c r="J123" s="65" t="s">
        <v>649</v>
      </c>
    </row>
    <row r="124" customFormat="false" ht="39.75" hidden="false" customHeight="true" outlineLevel="0" collapsed="false">
      <c r="A124" s="63" t="s">
        <v>864</v>
      </c>
      <c r="B124" s="63" t="s">
        <v>644</v>
      </c>
      <c r="C124" s="70" t="s">
        <v>623</v>
      </c>
      <c r="D124" s="65" t="s">
        <v>120</v>
      </c>
      <c r="E124" s="65" t="s">
        <v>873</v>
      </c>
      <c r="F124" s="67" t="s">
        <v>625</v>
      </c>
      <c r="G124" s="65" t="s">
        <v>872</v>
      </c>
      <c r="H124" s="66" t="s">
        <v>647</v>
      </c>
      <c r="I124" s="65" t="s">
        <v>648</v>
      </c>
      <c r="J124" s="65" t="s">
        <v>649</v>
      </c>
    </row>
    <row r="125" customFormat="false" ht="39.75" hidden="false" customHeight="true" outlineLevel="0" collapsed="false">
      <c r="A125" s="63" t="s">
        <v>874</v>
      </c>
      <c r="B125" s="63" t="s">
        <v>875</v>
      </c>
      <c r="C125" s="70" t="s">
        <v>623</v>
      </c>
      <c r="D125" s="65" t="s">
        <v>122</v>
      </c>
      <c r="E125" s="65" t="s">
        <v>876</v>
      </c>
      <c r="F125" s="67" t="s">
        <v>625</v>
      </c>
      <c r="G125" s="66" t="s">
        <v>780</v>
      </c>
      <c r="H125" s="65" t="s">
        <v>877</v>
      </c>
      <c r="I125" s="65" t="s">
        <v>878</v>
      </c>
      <c r="J125" s="65" t="s">
        <v>879</v>
      </c>
    </row>
    <row r="126" customFormat="false" ht="39.75" hidden="false" customHeight="true" outlineLevel="0" collapsed="false">
      <c r="A126" s="63" t="s">
        <v>874</v>
      </c>
      <c r="B126" s="63" t="s">
        <v>875</v>
      </c>
      <c r="C126" s="70" t="s">
        <v>623</v>
      </c>
      <c r="D126" s="65" t="s">
        <v>122</v>
      </c>
      <c r="E126" s="66" t="s">
        <v>880</v>
      </c>
      <c r="F126" s="67" t="s">
        <v>625</v>
      </c>
      <c r="G126" s="66" t="s">
        <v>678</v>
      </c>
      <c r="H126" s="65" t="s">
        <v>616</v>
      </c>
      <c r="I126" s="66" t="s">
        <v>617</v>
      </c>
      <c r="J126" s="65" t="s">
        <v>618</v>
      </c>
    </row>
    <row r="127" customFormat="false" ht="39.75" hidden="false" customHeight="true" outlineLevel="0" collapsed="false">
      <c r="A127" s="63" t="s">
        <v>874</v>
      </c>
      <c r="B127" s="63" t="s">
        <v>875</v>
      </c>
      <c r="C127" s="70" t="s">
        <v>623</v>
      </c>
      <c r="D127" s="65" t="s">
        <v>122</v>
      </c>
      <c r="E127" s="65" t="s">
        <v>881</v>
      </c>
      <c r="F127" s="67" t="s">
        <v>625</v>
      </c>
      <c r="G127" s="66" t="s">
        <v>672</v>
      </c>
      <c r="H127" s="65" t="s">
        <v>877</v>
      </c>
      <c r="I127" s="65" t="s">
        <v>878</v>
      </c>
      <c r="J127" s="65" t="s">
        <v>879</v>
      </c>
    </row>
    <row r="128" customFormat="false" ht="39.75" hidden="false" customHeight="true" outlineLevel="0" collapsed="false">
      <c r="A128" s="63" t="s">
        <v>874</v>
      </c>
      <c r="B128" s="63" t="s">
        <v>875</v>
      </c>
      <c r="C128" s="70" t="s">
        <v>623</v>
      </c>
      <c r="D128" s="65" t="s">
        <v>122</v>
      </c>
      <c r="E128" s="66" t="s">
        <v>882</v>
      </c>
      <c r="F128" s="67" t="s">
        <v>625</v>
      </c>
      <c r="G128" s="66" t="s">
        <v>636</v>
      </c>
      <c r="H128" s="65" t="s">
        <v>877</v>
      </c>
      <c r="I128" s="65" t="s">
        <v>878</v>
      </c>
      <c r="J128" s="65" t="s">
        <v>879</v>
      </c>
    </row>
    <row r="130" customFormat="false" ht="15" hidden="false" customHeight="false" outlineLevel="0" collapsed="false">
      <c r="A130" s="72" t="s">
        <v>883</v>
      </c>
    </row>
    <row r="131" customFormat="false" ht="15" hidden="false" customHeight="false" outlineLevel="0" collapsed="false">
      <c r="A131" s="73" t="s">
        <v>529</v>
      </c>
      <c r="B131" s="74" t="s">
        <v>884</v>
      </c>
      <c r="C131" s="74"/>
      <c r="D131" s="74"/>
      <c r="E131" s="74"/>
    </row>
    <row r="132" customFormat="false" ht="15" hidden="false" customHeight="false" outlineLevel="0" collapsed="false">
      <c r="A132" s="75" t="s">
        <v>588</v>
      </c>
      <c r="B132" s="74" t="s">
        <v>885</v>
      </c>
      <c r="C132" s="74"/>
      <c r="D132" s="74"/>
      <c r="E132" s="74"/>
    </row>
    <row r="133" customFormat="false" ht="15" hidden="false" customHeight="false" outlineLevel="0" collapsed="false">
      <c r="A133" s="76" t="s">
        <v>605</v>
      </c>
      <c r="B133" s="74" t="s">
        <v>886</v>
      </c>
      <c r="C133" s="74"/>
      <c r="D133" s="74"/>
      <c r="E133" s="74"/>
    </row>
    <row r="134" customFormat="false" ht="15" hidden="false" customHeight="false" outlineLevel="0" collapsed="false">
      <c r="A134" s="77" t="s">
        <v>623</v>
      </c>
      <c r="B134" s="74" t="s">
        <v>887</v>
      </c>
      <c r="C134" s="74"/>
      <c r="D134" s="74"/>
      <c r="E134" s="74"/>
    </row>
    <row r="135" customFormat="false" ht="15" hidden="false" customHeight="false" outlineLevel="0" collapsed="false">
      <c r="A135" s="78" t="s">
        <v>888</v>
      </c>
      <c r="B135" s="74" t="s">
        <v>889</v>
      </c>
      <c r="C135" s="74"/>
      <c r="D135" s="74"/>
      <c r="E135" s="74"/>
    </row>
  </sheetData>
  <mergeCells count="6">
    <mergeCell ref="A1:J1"/>
    <mergeCell ref="B131:E131"/>
    <mergeCell ref="B132:E132"/>
    <mergeCell ref="B133:E133"/>
    <mergeCell ref="B134:E134"/>
    <mergeCell ref="B135:E1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7" min="7" style="0" width="7"/>
  </cols>
  <sheetData>
    <row r="1" customFormat="false" ht="23.85" hidden="false" customHeight="false" outlineLevel="0" collapsed="false">
      <c r="A1" s="6" t="s">
        <v>890</v>
      </c>
      <c r="B1" s="6"/>
      <c r="C1" s="6"/>
      <c r="D1" s="6"/>
      <c r="E1" s="6"/>
      <c r="F1" s="6"/>
      <c r="G1" s="6"/>
      <c r="H1" s="6"/>
    </row>
    <row r="2" customFormat="false" ht="14.15" hidden="false" customHeight="false" outlineLevel="0" collapsed="false">
      <c r="A2" s="79" t="s">
        <v>891</v>
      </c>
      <c r="B2" s="79"/>
      <c r="C2" s="79"/>
      <c r="D2" s="79"/>
      <c r="E2" s="79"/>
      <c r="F2" s="79"/>
      <c r="G2" s="79"/>
      <c r="H2" s="79"/>
    </row>
    <row r="4" customFormat="false" ht="24" hidden="false" customHeight="true" outlineLevel="0" collapsed="false">
      <c r="A4" s="80" t="s">
        <v>892</v>
      </c>
      <c r="B4" s="80"/>
      <c r="C4" s="80"/>
      <c r="D4" s="80"/>
      <c r="E4" s="80"/>
      <c r="F4" s="80"/>
      <c r="G4" s="80"/>
    </row>
    <row r="5" customFormat="false" ht="18" hidden="false" customHeight="true" outlineLevel="0" collapsed="false">
      <c r="A5" s="81" t="s">
        <v>893</v>
      </c>
      <c r="B5" s="81"/>
      <c r="C5" s="81"/>
      <c r="D5" s="81"/>
      <c r="E5" s="81"/>
      <c r="F5" s="81"/>
      <c r="G5" s="81"/>
    </row>
    <row r="6" customFormat="false" ht="15" hidden="false" customHeight="false" outlineLevel="0" collapsed="false">
      <c r="A6" s="82" t="s">
        <v>894</v>
      </c>
      <c r="B6" s="82" t="s">
        <v>142</v>
      </c>
      <c r="C6" s="82" t="s">
        <v>895</v>
      </c>
      <c r="D6" s="82" t="s">
        <v>523</v>
      </c>
      <c r="E6" s="82" t="s">
        <v>896</v>
      </c>
      <c r="F6" s="82" t="s">
        <v>897</v>
      </c>
      <c r="G6" s="82" t="s">
        <v>95</v>
      </c>
    </row>
    <row r="7" customFormat="false" ht="48" hidden="false" customHeight="true" outlineLevel="0" collapsed="false">
      <c r="A7" s="83" t="n">
        <v>1</v>
      </c>
      <c r="B7" s="56" t="s">
        <v>537</v>
      </c>
      <c r="C7" s="83" t="s">
        <v>898</v>
      </c>
      <c r="D7" s="56" t="s">
        <v>539</v>
      </c>
      <c r="E7" s="56" t="s">
        <v>899</v>
      </c>
      <c r="F7" s="56" t="s">
        <v>542</v>
      </c>
      <c r="G7" s="83" t="s">
        <v>900</v>
      </c>
    </row>
    <row r="8" customFormat="false" ht="48" hidden="false" customHeight="true" outlineLevel="0" collapsed="false">
      <c r="A8" s="83" t="n">
        <v>2</v>
      </c>
      <c r="B8" s="56" t="s">
        <v>531</v>
      </c>
      <c r="C8" s="83" t="s">
        <v>901</v>
      </c>
      <c r="D8" s="56" t="s">
        <v>533</v>
      </c>
      <c r="E8" s="61" t="s">
        <v>902</v>
      </c>
      <c r="F8" s="56" t="s">
        <v>536</v>
      </c>
      <c r="G8" s="83" t="s">
        <v>900</v>
      </c>
    </row>
    <row r="9" customFormat="false" ht="48" hidden="false" customHeight="true" outlineLevel="0" collapsed="false">
      <c r="A9" s="83" t="n">
        <v>3</v>
      </c>
      <c r="B9" s="56" t="s">
        <v>543</v>
      </c>
      <c r="C9" s="83" t="s">
        <v>901</v>
      </c>
      <c r="D9" s="56" t="s">
        <v>544</v>
      </c>
      <c r="E9" s="61" t="s">
        <v>903</v>
      </c>
      <c r="F9" s="56" t="s">
        <v>547</v>
      </c>
      <c r="G9" s="83" t="s">
        <v>900</v>
      </c>
    </row>
    <row r="10" customFormat="false" ht="109.5" hidden="false" customHeight="true" outlineLevel="0" collapsed="false">
      <c r="A10" s="84" t="s">
        <v>904</v>
      </c>
      <c r="B10" s="84"/>
      <c r="C10" s="85" t="s">
        <v>905</v>
      </c>
      <c r="D10" s="85"/>
      <c r="E10" s="85"/>
      <c r="F10" s="85"/>
      <c r="G10" s="85"/>
    </row>
    <row r="11" customFormat="false" ht="19.5" hidden="false" customHeight="true" outlineLevel="0" collapsed="false">
      <c r="A11" s="86" t="s">
        <v>906</v>
      </c>
      <c r="B11" s="86"/>
      <c r="C11" s="86" t="s">
        <v>907</v>
      </c>
      <c r="D11" s="86"/>
      <c r="E11" s="86"/>
      <c r="F11" s="86"/>
      <c r="G11" s="86" t="s">
        <v>908</v>
      </c>
    </row>
    <row r="13" customFormat="false" ht="24" hidden="false" customHeight="true" outlineLevel="0" collapsed="false">
      <c r="A13" s="80" t="s">
        <v>909</v>
      </c>
      <c r="B13" s="80"/>
      <c r="C13" s="80"/>
      <c r="D13" s="80"/>
      <c r="E13" s="80"/>
      <c r="F13" s="80"/>
      <c r="G13" s="80"/>
    </row>
    <row r="14" customFormat="false" ht="18" hidden="false" customHeight="true" outlineLevel="0" collapsed="false">
      <c r="A14" s="81" t="s">
        <v>910</v>
      </c>
      <c r="B14" s="81"/>
      <c r="C14" s="81"/>
      <c r="D14" s="81"/>
      <c r="E14" s="81"/>
      <c r="F14" s="81"/>
      <c r="G14" s="81"/>
    </row>
    <row r="15" customFormat="false" ht="15" hidden="false" customHeight="false" outlineLevel="0" collapsed="false">
      <c r="A15" s="82" t="s">
        <v>894</v>
      </c>
      <c r="B15" s="82" t="s">
        <v>142</v>
      </c>
      <c r="C15" s="82" t="s">
        <v>895</v>
      </c>
      <c r="D15" s="82" t="s">
        <v>523</v>
      </c>
      <c r="E15" s="82" t="s">
        <v>896</v>
      </c>
      <c r="F15" s="82" t="s">
        <v>897</v>
      </c>
      <c r="G15" s="82" t="s">
        <v>95</v>
      </c>
    </row>
    <row r="16" customFormat="false" ht="48" hidden="false" customHeight="true" outlineLevel="0" collapsed="false">
      <c r="A16" s="83" t="n">
        <v>1</v>
      </c>
      <c r="B16" s="56" t="s">
        <v>549</v>
      </c>
      <c r="C16" s="83" t="s">
        <v>901</v>
      </c>
      <c r="D16" s="56" t="s">
        <v>550</v>
      </c>
      <c r="E16" s="56" t="s">
        <v>911</v>
      </c>
      <c r="F16" s="56" t="s">
        <v>553</v>
      </c>
      <c r="G16" s="83" t="s">
        <v>900</v>
      </c>
    </row>
    <row r="17" customFormat="false" ht="48" hidden="false" customHeight="true" outlineLevel="0" collapsed="false">
      <c r="A17" s="83" t="n">
        <v>2</v>
      </c>
      <c r="B17" s="56" t="s">
        <v>554</v>
      </c>
      <c r="C17" s="83" t="s">
        <v>901</v>
      </c>
      <c r="D17" s="56" t="s">
        <v>555</v>
      </c>
      <c r="E17" s="61" t="s">
        <v>912</v>
      </c>
      <c r="F17" s="56" t="s">
        <v>558</v>
      </c>
      <c r="G17" s="83" t="s">
        <v>900</v>
      </c>
    </row>
    <row r="18" customFormat="false" ht="48" hidden="false" customHeight="true" outlineLevel="0" collapsed="false">
      <c r="A18" s="83" t="n">
        <v>3</v>
      </c>
      <c r="B18" s="56" t="s">
        <v>559</v>
      </c>
      <c r="C18" s="83" t="s">
        <v>901</v>
      </c>
      <c r="D18" s="56" t="s">
        <v>560</v>
      </c>
      <c r="E18" s="56" t="s">
        <v>913</v>
      </c>
      <c r="F18" s="56" t="s">
        <v>563</v>
      </c>
      <c r="G18" s="83" t="s">
        <v>900</v>
      </c>
    </row>
    <row r="19" customFormat="false" ht="48" hidden="false" customHeight="true" outlineLevel="0" collapsed="false">
      <c r="A19" s="83" t="n">
        <v>4</v>
      </c>
      <c r="B19" s="56" t="s">
        <v>564</v>
      </c>
      <c r="C19" s="83" t="s">
        <v>898</v>
      </c>
      <c r="D19" s="56" t="s">
        <v>550</v>
      </c>
      <c r="E19" s="56" t="s">
        <v>914</v>
      </c>
      <c r="F19" s="61" t="s">
        <v>567</v>
      </c>
      <c r="G19" s="83" t="s">
        <v>900</v>
      </c>
    </row>
    <row r="20" customFormat="false" ht="48" hidden="false" customHeight="true" outlineLevel="0" collapsed="false">
      <c r="A20" s="83" t="n">
        <v>5</v>
      </c>
      <c r="B20" s="56" t="s">
        <v>568</v>
      </c>
      <c r="C20" s="83" t="s">
        <v>898</v>
      </c>
      <c r="D20" s="56" t="s">
        <v>569</v>
      </c>
      <c r="E20" s="61" t="s">
        <v>915</v>
      </c>
      <c r="F20" s="56" t="s">
        <v>572</v>
      </c>
      <c r="G20" s="83" t="s">
        <v>900</v>
      </c>
    </row>
    <row r="21" customFormat="false" ht="48" hidden="false" customHeight="true" outlineLevel="0" collapsed="false">
      <c r="A21" s="83" t="n">
        <v>6</v>
      </c>
      <c r="B21" s="56" t="s">
        <v>573</v>
      </c>
      <c r="C21" s="83" t="s">
        <v>901</v>
      </c>
      <c r="D21" s="56" t="s">
        <v>574</v>
      </c>
      <c r="E21" s="61" t="s">
        <v>916</v>
      </c>
      <c r="F21" s="61" t="s">
        <v>577</v>
      </c>
      <c r="G21" s="83" t="s">
        <v>900</v>
      </c>
    </row>
    <row r="22" customFormat="false" ht="48" hidden="false" customHeight="true" outlineLevel="0" collapsed="false">
      <c r="A22" s="83" t="n">
        <v>7</v>
      </c>
      <c r="B22" s="56" t="s">
        <v>578</v>
      </c>
      <c r="C22" s="83" t="s">
        <v>901</v>
      </c>
      <c r="D22" s="56" t="s">
        <v>579</v>
      </c>
      <c r="E22" s="61" t="s">
        <v>917</v>
      </c>
      <c r="F22" s="61" t="s">
        <v>582</v>
      </c>
      <c r="G22" s="83" t="s">
        <v>900</v>
      </c>
    </row>
    <row r="23" customFormat="false" ht="48" hidden="false" customHeight="true" outlineLevel="0" collapsed="false">
      <c r="A23" s="83" t="n">
        <v>8</v>
      </c>
      <c r="B23" s="56" t="s">
        <v>583</v>
      </c>
      <c r="C23" s="83" t="s">
        <v>901</v>
      </c>
      <c r="D23" s="56" t="s">
        <v>584</v>
      </c>
      <c r="E23" s="61" t="s">
        <v>918</v>
      </c>
      <c r="F23" s="61" t="s">
        <v>587</v>
      </c>
      <c r="G23" s="83" t="s">
        <v>900</v>
      </c>
    </row>
    <row r="24" customFormat="false" ht="48" hidden="false" customHeight="true" outlineLevel="0" collapsed="false">
      <c r="A24" s="83" t="n">
        <v>9</v>
      </c>
      <c r="B24" s="61" t="s">
        <v>589</v>
      </c>
      <c r="C24" s="83" t="s">
        <v>901</v>
      </c>
      <c r="D24" s="56" t="s">
        <v>590</v>
      </c>
      <c r="E24" s="56" t="s">
        <v>899</v>
      </c>
      <c r="F24" s="56" t="s">
        <v>542</v>
      </c>
      <c r="G24" s="83" t="s">
        <v>900</v>
      </c>
    </row>
    <row r="25" customFormat="false" ht="109.5" hidden="false" customHeight="true" outlineLevel="0" collapsed="false">
      <c r="A25" s="84" t="s">
        <v>904</v>
      </c>
      <c r="B25" s="84"/>
      <c r="C25" s="85" t="s">
        <v>919</v>
      </c>
      <c r="D25" s="85"/>
      <c r="E25" s="85"/>
      <c r="F25" s="85"/>
      <c r="G25" s="85"/>
    </row>
    <row r="26" customFormat="false" ht="19.5" hidden="false" customHeight="true" outlineLevel="0" collapsed="false">
      <c r="A26" s="86" t="s">
        <v>906</v>
      </c>
      <c r="B26" s="86"/>
      <c r="C26" s="86" t="s">
        <v>907</v>
      </c>
      <c r="D26" s="86"/>
      <c r="E26" s="86"/>
      <c r="F26" s="86"/>
      <c r="G26" s="86" t="s">
        <v>908</v>
      </c>
    </row>
    <row r="28" customFormat="false" ht="24" hidden="false" customHeight="true" outlineLevel="0" collapsed="false">
      <c r="A28" s="80" t="s">
        <v>920</v>
      </c>
      <c r="B28" s="80"/>
      <c r="C28" s="80"/>
      <c r="D28" s="80"/>
      <c r="E28" s="80"/>
      <c r="F28" s="80"/>
      <c r="G28" s="80"/>
    </row>
    <row r="29" customFormat="false" ht="18" hidden="false" customHeight="true" outlineLevel="0" collapsed="false">
      <c r="A29" s="81" t="s">
        <v>921</v>
      </c>
      <c r="B29" s="81"/>
      <c r="C29" s="81"/>
      <c r="D29" s="81"/>
      <c r="E29" s="81"/>
      <c r="F29" s="81"/>
      <c r="G29" s="81"/>
    </row>
    <row r="30" customFormat="false" ht="15" hidden="false" customHeight="false" outlineLevel="0" collapsed="false">
      <c r="A30" s="82" t="s">
        <v>894</v>
      </c>
      <c r="B30" s="82" t="s">
        <v>142</v>
      </c>
      <c r="C30" s="82" t="s">
        <v>895</v>
      </c>
      <c r="D30" s="82" t="s">
        <v>523</v>
      </c>
      <c r="E30" s="82" t="s">
        <v>896</v>
      </c>
      <c r="F30" s="82" t="s">
        <v>897</v>
      </c>
      <c r="G30" s="82" t="s">
        <v>95</v>
      </c>
    </row>
    <row r="31" customFormat="false" ht="48" hidden="false" customHeight="true" outlineLevel="0" collapsed="false">
      <c r="A31" s="83" t="n">
        <v>1</v>
      </c>
      <c r="B31" s="56" t="s">
        <v>592</v>
      </c>
      <c r="C31" s="83" t="s">
        <v>901</v>
      </c>
      <c r="D31" s="56" t="s">
        <v>560</v>
      </c>
      <c r="E31" s="56" t="s">
        <v>899</v>
      </c>
      <c r="F31" s="56" t="s">
        <v>542</v>
      </c>
      <c r="G31" s="83" t="s">
        <v>900</v>
      </c>
    </row>
    <row r="32" customFormat="false" ht="48" hidden="false" customHeight="true" outlineLevel="0" collapsed="false">
      <c r="A32" s="83" t="n">
        <v>2</v>
      </c>
      <c r="B32" s="61" t="s">
        <v>593</v>
      </c>
      <c r="C32" s="83" t="s">
        <v>901</v>
      </c>
      <c r="D32" s="56" t="s">
        <v>560</v>
      </c>
      <c r="E32" s="56" t="s">
        <v>899</v>
      </c>
      <c r="F32" s="56" t="s">
        <v>542</v>
      </c>
      <c r="G32" s="83" t="s">
        <v>900</v>
      </c>
    </row>
    <row r="33" customFormat="false" ht="48" hidden="false" customHeight="true" outlineLevel="0" collapsed="false">
      <c r="A33" s="83" t="n">
        <v>3</v>
      </c>
      <c r="B33" s="56" t="s">
        <v>594</v>
      </c>
      <c r="C33" s="83" t="s">
        <v>901</v>
      </c>
      <c r="D33" s="56" t="s">
        <v>560</v>
      </c>
      <c r="E33" s="56" t="s">
        <v>899</v>
      </c>
      <c r="F33" s="56" t="s">
        <v>542</v>
      </c>
      <c r="G33" s="83" t="s">
        <v>900</v>
      </c>
    </row>
    <row r="34" customFormat="false" ht="48" hidden="false" customHeight="true" outlineLevel="0" collapsed="false">
      <c r="A34" s="83" t="n">
        <v>4</v>
      </c>
      <c r="B34" s="56" t="s">
        <v>595</v>
      </c>
      <c r="C34" s="83" t="s">
        <v>901</v>
      </c>
      <c r="D34" s="56" t="s">
        <v>596</v>
      </c>
      <c r="E34" s="56" t="s">
        <v>899</v>
      </c>
      <c r="F34" s="56" t="s">
        <v>542</v>
      </c>
      <c r="G34" s="83" t="s">
        <v>900</v>
      </c>
    </row>
    <row r="35" customFormat="false" ht="48" hidden="false" customHeight="true" outlineLevel="0" collapsed="false">
      <c r="A35" s="83" t="n">
        <v>5</v>
      </c>
      <c r="B35" s="56" t="s">
        <v>597</v>
      </c>
      <c r="C35" s="83" t="s">
        <v>898</v>
      </c>
      <c r="D35" s="56" t="s">
        <v>598</v>
      </c>
      <c r="E35" s="56" t="s">
        <v>899</v>
      </c>
      <c r="F35" s="56" t="s">
        <v>542</v>
      </c>
      <c r="G35" s="83" t="s">
        <v>900</v>
      </c>
    </row>
    <row r="36" customFormat="false" ht="48" hidden="false" customHeight="true" outlineLevel="0" collapsed="false">
      <c r="A36" s="83" t="n">
        <v>6</v>
      </c>
      <c r="B36" s="56" t="s">
        <v>599</v>
      </c>
      <c r="C36" s="83" t="s">
        <v>901</v>
      </c>
      <c r="D36" s="56" t="s">
        <v>600</v>
      </c>
      <c r="E36" s="56" t="s">
        <v>899</v>
      </c>
      <c r="F36" s="56" t="s">
        <v>542</v>
      </c>
      <c r="G36" s="83" t="s">
        <v>900</v>
      </c>
    </row>
    <row r="37" customFormat="false" ht="48" hidden="false" customHeight="true" outlineLevel="0" collapsed="false">
      <c r="A37" s="83" t="n">
        <v>7</v>
      </c>
      <c r="B37" s="56" t="s">
        <v>601</v>
      </c>
      <c r="C37" s="83" t="s">
        <v>901</v>
      </c>
      <c r="D37" s="56" t="s">
        <v>600</v>
      </c>
      <c r="E37" s="56" t="s">
        <v>899</v>
      </c>
      <c r="F37" s="56" t="s">
        <v>542</v>
      </c>
      <c r="G37" s="83" t="s">
        <v>900</v>
      </c>
    </row>
    <row r="38" customFormat="false" ht="48" hidden="false" customHeight="true" outlineLevel="0" collapsed="false">
      <c r="A38" s="83" t="n">
        <v>8</v>
      </c>
      <c r="B38" s="61" t="s">
        <v>602</v>
      </c>
      <c r="C38" s="83" t="s">
        <v>901</v>
      </c>
      <c r="D38" s="56" t="s">
        <v>600</v>
      </c>
      <c r="E38" s="56" t="s">
        <v>899</v>
      </c>
      <c r="F38" s="56" t="s">
        <v>542</v>
      </c>
      <c r="G38" s="83" t="s">
        <v>900</v>
      </c>
    </row>
    <row r="39" customFormat="false" ht="48" hidden="false" customHeight="true" outlineLevel="0" collapsed="false">
      <c r="A39" s="83" t="n">
        <v>9</v>
      </c>
      <c r="B39" s="56" t="s">
        <v>603</v>
      </c>
      <c r="C39" s="83" t="s">
        <v>898</v>
      </c>
      <c r="D39" s="56" t="s">
        <v>604</v>
      </c>
      <c r="E39" s="56" t="s">
        <v>899</v>
      </c>
      <c r="F39" s="56" t="s">
        <v>542</v>
      </c>
      <c r="G39" s="83" t="s">
        <v>900</v>
      </c>
    </row>
    <row r="40" customFormat="false" ht="48" hidden="false" customHeight="true" outlineLevel="0" collapsed="false">
      <c r="A40" s="83" t="n">
        <v>10</v>
      </c>
      <c r="B40" s="61" t="s">
        <v>189</v>
      </c>
      <c r="C40" s="83" t="s">
        <v>898</v>
      </c>
      <c r="D40" s="56" t="s">
        <v>590</v>
      </c>
      <c r="E40" s="56" t="s">
        <v>899</v>
      </c>
      <c r="F40" s="56" t="s">
        <v>542</v>
      </c>
      <c r="G40" s="83" t="s">
        <v>900</v>
      </c>
    </row>
    <row r="41" customFormat="false" ht="48" hidden="false" customHeight="true" outlineLevel="0" collapsed="false">
      <c r="A41" s="83" t="n">
        <v>11</v>
      </c>
      <c r="B41" s="56" t="s">
        <v>606</v>
      </c>
      <c r="C41" s="83" t="s">
        <v>898</v>
      </c>
      <c r="D41" s="61" t="s">
        <v>607</v>
      </c>
      <c r="E41" s="56" t="s">
        <v>899</v>
      </c>
      <c r="F41" s="56" t="s">
        <v>542</v>
      </c>
      <c r="G41" s="83" t="s">
        <v>900</v>
      </c>
    </row>
    <row r="42" customFormat="false" ht="48" hidden="false" customHeight="true" outlineLevel="0" collapsed="false">
      <c r="A42" s="83" t="n">
        <v>12</v>
      </c>
      <c r="B42" s="56" t="s">
        <v>608</v>
      </c>
      <c r="C42" s="83" t="s">
        <v>898</v>
      </c>
      <c r="D42" s="61" t="s">
        <v>607</v>
      </c>
      <c r="E42" s="56" t="s">
        <v>899</v>
      </c>
      <c r="F42" s="56" t="s">
        <v>542</v>
      </c>
      <c r="G42" s="83" t="s">
        <v>900</v>
      </c>
    </row>
    <row r="43" customFormat="false" ht="109.5" hidden="false" customHeight="true" outlineLevel="0" collapsed="false">
      <c r="A43" s="84" t="s">
        <v>904</v>
      </c>
      <c r="B43" s="84"/>
      <c r="C43" s="85" t="s">
        <v>922</v>
      </c>
      <c r="D43" s="85"/>
      <c r="E43" s="85"/>
      <c r="F43" s="85"/>
      <c r="G43" s="85"/>
    </row>
    <row r="44" customFormat="false" ht="19.5" hidden="false" customHeight="true" outlineLevel="0" collapsed="false">
      <c r="A44" s="86" t="s">
        <v>906</v>
      </c>
      <c r="B44" s="86"/>
      <c r="C44" s="86" t="s">
        <v>907</v>
      </c>
      <c r="D44" s="86"/>
      <c r="E44" s="86"/>
      <c r="F44" s="86"/>
      <c r="G44" s="86" t="s">
        <v>908</v>
      </c>
    </row>
    <row r="46" customFormat="false" ht="24" hidden="false" customHeight="true" outlineLevel="0" collapsed="false">
      <c r="A46" s="80" t="s">
        <v>923</v>
      </c>
      <c r="B46" s="80"/>
      <c r="C46" s="80"/>
      <c r="D46" s="80"/>
      <c r="E46" s="80"/>
      <c r="F46" s="80"/>
      <c r="G46" s="80"/>
    </row>
    <row r="47" customFormat="false" ht="18" hidden="false" customHeight="true" outlineLevel="0" collapsed="false">
      <c r="A47" s="81" t="s">
        <v>924</v>
      </c>
      <c r="B47" s="81"/>
      <c r="C47" s="81"/>
      <c r="D47" s="81"/>
      <c r="E47" s="81"/>
      <c r="F47" s="81"/>
      <c r="G47" s="81"/>
    </row>
    <row r="48" customFormat="false" ht="15" hidden="false" customHeight="false" outlineLevel="0" collapsed="false">
      <c r="A48" s="82" t="s">
        <v>894</v>
      </c>
      <c r="B48" s="82" t="s">
        <v>142</v>
      </c>
      <c r="C48" s="82" t="s">
        <v>895</v>
      </c>
      <c r="D48" s="82" t="s">
        <v>523</v>
      </c>
      <c r="E48" s="82" t="s">
        <v>896</v>
      </c>
      <c r="F48" s="82" t="s">
        <v>897</v>
      </c>
      <c r="G48" s="82" t="s">
        <v>95</v>
      </c>
    </row>
    <row r="49" customFormat="false" ht="48" hidden="false" customHeight="true" outlineLevel="0" collapsed="false">
      <c r="A49" s="83" t="n">
        <v>1</v>
      </c>
      <c r="B49" s="61" t="s">
        <v>610</v>
      </c>
      <c r="C49" s="83" t="s">
        <v>898</v>
      </c>
      <c r="D49" s="56" t="s">
        <v>590</v>
      </c>
      <c r="E49" s="56" t="s">
        <v>899</v>
      </c>
      <c r="F49" s="56" t="s">
        <v>542</v>
      </c>
      <c r="G49" s="83" t="s">
        <v>900</v>
      </c>
    </row>
    <row r="50" customFormat="false" ht="48" hidden="false" customHeight="true" outlineLevel="0" collapsed="false">
      <c r="A50" s="83" t="n">
        <v>2</v>
      </c>
      <c r="B50" s="56" t="s">
        <v>611</v>
      </c>
      <c r="C50" s="83" t="s">
        <v>901</v>
      </c>
      <c r="D50" s="56" t="s">
        <v>604</v>
      </c>
      <c r="E50" s="56" t="s">
        <v>899</v>
      </c>
      <c r="F50" s="56" t="s">
        <v>542</v>
      </c>
      <c r="G50" s="83" t="s">
        <v>900</v>
      </c>
    </row>
    <row r="51" customFormat="false" ht="48" hidden="false" customHeight="true" outlineLevel="0" collapsed="false">
      <c r="A51" s="83" t="n">
        <v>3</v>
      </c>
      <c r="B51" s="56" t="s">
        <v>612</v>
      </c>
      <c r="C51" s="83" t="s">
        <v>901</v>
      </c>
      <c r="D51" s="56" t="s">
        <v>613</v>
      </c>
      <c r="E51" s="56" t="s">
        <v>899</v>
      </c>
      <c r="F51" s="56" t="s">
        <v>542</v>
      </c>
      <c r="G51" s="83" t="s">
        <v>900</v>
      </c>
    </row>
    <row r="52" customFormat="false" ht="48" hidden="false" customHeight="true" outlineLevel="0" collapsed="false">
      <c r="A52" s="83" t="n">
        <v>4</v>
      </c>
      <c r="B52" s="61" t="s">
        <v>614</v>
      </c>
      <c r="C52" s="83" t="s">
        <v>901</v>
      </c>
      <c r="D52" s="56" t="s">
        <v>615</v>
      </c>
      <c r="E52" s="61" t="s">
        <v>925</v>
      </c>
      <c r="F52" s="61" t="s">
        <v>618</v>
      </c>
      <c r="G52" s="83" t="s">
        <v>900</v>
      </c>
    </row>
    <row r="53" customFormat="false" ht="109.5" hidden="false" customHeight="true" outlineLevel="0" collapsed="false">
      <c r="A53" s="84" t="s">
        <v>904</v>
      </c>
      <c r="B53" s="84"/>
      <c r="C53" s="85" t="s">
        <v>926</v>
      </c>
      <c r="D53" s="85"/>
      <c r="E53" s="85"/>
      <c r="F53" s="85"/>
      <c r="G53" s="85"/>
    </row>
    <row r="54" customFormat="false" ht="19.5" hidden="false" customHeight="true" outlineLevel="0" collapsed="false">
      <c r="A54" s="86" t="s">
        <v>906</v>
      </c>
      <c r="B54" s="86"/>
      <c r="C54" s="86" t="s">
        <v>907</v>
      </c>
      <c r="D54" s="86"/>
      <c r="E54" s="86"/>
      <c r="F54" s="86"/>
      <c r="G54" s="86" t="s">
        <v>908</v>
      </c>
    </row>
    <row r="56" customFormat="false" ht="24" hidden="false" customHeight="true" outlineLevel="0" collapsed="false">
      <c r="A56" s="80" t="s">
        <v>927</v>
      </c>
      <c r="B56" s="80"/>
      <c r="C56" s="80"/>
      <c r="D56" s="80"/>
      <c r="E56" s="80"/>
      <c r="F56" s="80"/>
      <c r="G56" s="80"/>
    </row>
    <row r="57" customFormat="false" ht="18" hidden="false" customHeight="true" outlineLevel="0" collapsed="false">
      <c r="A57" s="81" t="s">
        <v>928</v>
      </c>
      <c r="B57" s="81"/>
      <c r="C57" s="81"/>
      <c r="D57" s="81"/>
      <c r="E57" s="81"/>
      <c r="F57" s="81"/>
      <c r="G57" s="81"/>
    </row>
    <row r="58" customFormat="false" ht="15" hidden="false" customHeight="false" outlineLevel="0" collapsed="false">
      <c r="A58" s="82" t="s">
        <v>894</v>
      </c>
      <c r="B58" s="82" t="s">
        <v>142</v>
      </c>
      <c r="C58" s="82" t="s">
        <v>895</v>
      </c>
      <c r="D58" s="82" t="s">
        <v>523</v>
      </c>
      <c r="E58" s="82" t="s">
        <v>896</v>
      </c>
      <c r="F58" s="82" t="s">
        <v>897</v>
      </c>
      <c r="G58" s="82" t="s">
        <v>95</v>
      </c>
    </row>
    <row r="59" customFormat="false" ht="48" hidden="false" customHeight="true" outlineLevel="0" collapsed="false">
      <c r="A59" s="83" t="n">
        <v>1</v>
      </c>
      <c r="B59" s="56" t="s">
        <v>620</v>
      </c>
      <c r="C59" s="83" t="s">
        <v>898</v>
      </c>
      <c r="D59" s="56" t="s">
        <v>604</v>
      </c>
      <c r="E59" s="56" t="s">
        <v>899</v>
      </c>
      <c r="F59" s="56" t="s">
        <v>542</v>
      </c>
      <c r="G59" s="83" t="s">
        <v>900</v>
      </c>
    </row>
    <row r="60" customFormat="false" ht="109.5" hidden="false" customHeight="true" outlineLevel="0" collapsed="false">
      <c r="A60" s="84" t="s">
        <v>904</v>
      </c>
      <c r="B60" s="84"/>
      <c r="C60" s="85" t="s">
        <v>929</v>
      </c>
      <c r="D60" s="85"/>
      <c r="E60" s="85"/>
      <c r="F60" s="85"/>
      <c r="G60" s="85"/>
    </row>
    <row r="61" customFormat="false" ht="19.5" hidden="false" customHeight="true" outlineLevel="0" collapsed="false">
      <c r="A61" s="87" t="s">
        <v>906</v>
      </c>
      <c r="B61" s="87"/>
      <c r="C61" s="87" t="s">
        <v>930</v>
      </c>
      <c r="D61" s="87"/>
      <c r="E61" s="87"/>
      <c r="F61" s="87"/>
      <c r="G61" s="87" t="s">
        <v>931</v>
      </c>
    </row>
    <row r="63" customFormat="false" ht="24" hidden="false" customHeight="true" outlineLevel="0" collapsed="false">
      <c r="A63" s="80" t="s">
        <v>932</v>
      </c>
      <c r="B63" s="80"/>
      <c r="C63" s="80"/>
      <c r="D63" s="80"/>
      <c r="E63" s="80"/>
      <c r="F63" s="80"/>
      <c r="G63" s="80"/>
    </row>
    <row r="64" customFormat="false" ht="18" hidden="false" customHeight="true" outlineLevel="0" collapsed="false">
      <c r="A64" s="81" t="s">
        <v>933</v>
      </c>
      <c r="B64" s="81"/>
      <c r="C64" s="81"/>
      <c r="D64" s="81"/>
      <c r="E64" s="81"/>
      <c r="F64" s="81"/>
      <c r="G64" s="81"/>
    </row>
    <row r="65" customFormat="false" ht="15" hidden="false" customHeight="false" outlineLevel="0" collapsed="false">
      <c r="A65" s="82" t="s">
        <v>894</v>
      </c>
      <c r="B65" s="82" t="s">
        <v>142</v>
      </c>
      <c r="C65" s="82" t="s">
        <v>895</v>
      </c>
      <c r="D65" s="82" t="s">
        <v>523</v>
      </c>
      <c r="E65" s="82" t="s">
        <v>896</v>
      </c>
      <c r="F65" s="82" t="s">
        <v>897</v>
      </c>
      <c r="G65" s="82" t="s">
        <v>95</v>
      </c>
    </row>
    <row r="66" customFormat="false" ht="48" hidden="false" customHeight="true" outlineLevel="0" collapsed="false">
      <c r="A66" s="83" t="n">
        <v>1</v>
      </c>
      <c r="B66" s="61" t="s">
        <v>624</v>
      </c>
      <c r="C66" s="83" t="s">
        <v>934</v>
      </c>
      <c r="D66" s="56" t="s">
        <v>626</v>
      </c>
      <c r="E66" s="56" t="s">
        <v>935</v>
      </c>
      <c r="F66" s="56" t="s">
        <v>629</v>
      </c>
      <c r="G66" s="83" t="s">
        <v>900</v>
      </c>
    </row>
    <row r="67" customFormat="false" ht="48" hidden="false" customHeight="true" outlineLevel="0" collapsed="false">
      <c r="A67" s="83" t="n">
        <v>2</v>
      </c>
      <c r="B67" s="56" t="s">
        <v>630</v>
      </c>
      <c r="C67" s="83" t="s">
        <v>934</v>
      </c>
      <c r="D67" s="56" t="s">
        <v>631</v>
      </c>
      <c r="E67" s="61" t="s">
        <v>936</v>
      </c>
      <c r="F67" s="56" t="s">
        <v>634</v>
      </c>
      <c r="G67" s="83" t="s">
        <v>900</v>
      </c>
    </row>
    <row r="68" customFormat="false" ht="48" hidden="false" customHeight="true" outlineLevel="0" collapsed="false">
      <c r="A68" s="83" t="n">
        <v>3</v>
      </c>
      <c r="B68" s="56" t="s">
        <v>635</v>
      </c>
      <c r="C68" s="83" t="s">
        <v>934</v>
      </c>
      <c r="D68" s="56" t="s">
        <v>636</v>
      </c>
      <c r="E68" s="56" t="s">
        <v>937</v>
      </c>
      <c r="F68" s="61" t="s">
        <v>639</v>
      </c>
      <c r="G68" s="83" t="s">
        <v>900</v>
      </c>
    </row>
    <row r="69" customFormat="false" ht="48" hidden="false" customHeight="true" outlineLevel="0" collapsed="false">
      <c r="A69" s="83" t="n">
        <v>4</v>
      </c>
      <c r="B69" s="56" t="s">
        <v>640</v>
      </c>
      <c r="C69" s="83" t="s">
        <v>898</v>
      </c>
      <c r="D69" s="61" t="s">
        <v>607</v>
      </c>
      <c r="E69" s="56" t="s">
        <v>938</v>
      </c>
      <c r="F69" s="56" t="s">
        <v>643</v>
      </c>
      <c r="G69" s="83" t="s">
        <v>900</v>
      </c>
    </row>
    <row r="70" customFormat="false" ht="48" hidden="false" customHeight="true" outlineLevel="0" collapsed="false">
      <c r="A70" s="83" t="n">
        <v>5</v>
      </c>
      <c r="B70" s="61" t="s">
        <v>646</v>
      </c>
      <c r="C70" s="83" t="s">
        <v>901</v>
      </c>
      <c r="D70" s="56" t="s">
        <v>636</v>
      </c>
      <c r="E70" s="56" t="s">
        <v>939</v>
      </c>
      <c r="F70" s="61" t="s">
        <v>649</v>
      </c>
      <c r="G70" s="83" t="s">
        <v>900</v>
      </c>
    </row>
    <row r="71" customFormat="false" ht="109.5" hidden="false" customHeight="true" outlineLevel="0" collapsed="false">
      <c r="A71" s="84" t="s">
        <v>904</v>
      </c>
      <c r="B71" s="84"/>
      <c r="C71" s="85" t="s">
        <v>940</v>
      </c>
      <c r="D71" s="85"/>
      <c r="E71" s="85"/>
      <c r="F71" s="85"/>
      <c r="G71" s="85"/>
    </row>
    <row r="72" customFormat="false" ht="19.5" hidden="false" customHeight="true" outlineLevel="0" collapsed="false">
      <c r="A72" s="86" t="s">
        <v>906</v>
      </c>
      <c r="B72" s="86"/>
      <c r="C72" s="86" t="s">
        <v>907</v>
      </c>
      <c r="D72" s="86"/>
      <c r="E72" s="86"/>
      <c r="F72" s="86"/>
      <c r="G72" s="86" t="s">
        <v>908</v>
      </c>
    </row>
    <row r="74" customFormat="false" ht="24" hidden="false" customHeight="true" outlineLevel="0" collapsed="false">
      <c r="A74" s="80" t="s">
        <v>941</v>
      </c>
      <c r="B74" s="80"/>
      <c r="C74" s="80"/>
      <c r="D74" s="80"/>
      <c r="E74" s="80"/>
      <c r="F74" s="80"/>
      <c r="G74" s="80"/>
    </row>
    <row r="75" customFormat="false" ht="18" hidden="false" customHeight="true" outlineLevel="0" collapsed="false">
      <c r="A75" s="81" t="s">
        <v>942</v>
      </c>
      <c r="B75" s="81"/>
      <c r="C75" s="81"/>
      <c r="D75" s="81"/>
      <c r="E75" s="81"/>
      <c r="F75" s="81"/>
      <c r="G75" s="81"/>
    </row>
    <row r="76" customFormat="false" ht="15" hidden="false" customHeight="false" outlineLevel="0" collapsed="false">
      <c r="A76" s="82" t="s">
        <v>894</v>
      </c>
      <c r="B76" s="82" t="s">
        <v>142</v>
      </c>
      <c r="C76" s="82" t="s">
        <v>895</v>
      </c>
      <c r="D76" s="82" t="s">
        <v>523</v>
      </c>
      <c r="E76" s="82" t="s">
        <v>896</v>
      </c>
      <c r="F76" s="82" t="s">
        <v>897</v>
      </c>
      <c r="G76" s="82" t="s">
        <v>95</v>
      </c>
    </row>
    <row r="77" customFormat="false" ht="48" hidden="false" customHeight="true" outlineLevel="0" collapsed="false">
      <c r="A77" s="83" t="n">
        <v>1</v>
      </c>
      <c r="B77" s="61" t="s">
        <v>653</v>
      </c>
      <c r="C77" s="83" t="s">
        <v>901</v>
      </c>
      <c r="D77" s="56" t="s">
        <v>654</v>
      </c>
      <c r="E77" s="61" t="s">
        <v>925</v>
      </c>
      <c r="F77" s="61" t="s">
        <v>618</v>
      </c>
      <c r="G77" s="83" t="s">
        <v>943</v>
      </c>
    </row>
    <row r="78" customFormat="false" ht="48" hidden="false" customHeight="true" outlineLevel="0" collapsed="false">
      <c r="A78" s="83" t="n">
        <v>2</v>
      </c>
      <c r="B78" s="61" t="s">
        <v>655</v>
      </c>
      <c r="C78" s="83" t="s">
        <v>901</v>
      </c>
      <c r="D78" s="56" t="s">
        <v>654</v>
      </c>
      <c r="E78" s="61" t="s">
        <v>925</v>
      </c>
      <c r="F78" s="61" t="s">
        <v>618</v>
      </c>
      <c r="G78" s="83" t="s">
        <v>943</v>
      </c>
    </row>
    <row r="79" customFormat="false" ht="48" hidden="false" customHeight="true" outlineLevel="0" collapsed="false">
      <c r="A79" s="83" t="n">
        <v>3</v>
      </c>
      <c r="B79" s="61" t="s">
        <v>656</v>
      </c>
      <c r="C79" s="83" t="s">
        <v>901</v>
      </c>
      <c r="D79" s="56" t="s">
        <v>654</v>
      </c>
      <c r="E79" s="61" t="s">
        <v>944</v>
      </c>
      <c r="F79" s="61" t="s">
        <v>659</v>
      </c>
      <c r="G79" s="83" t="s">
        <v>943</v>
      </c>
    </row>
    <row r="80" customFormat="false" ht="109.5" hidden="false" customHeight="true" outlineLevel="0" collapsed="false">
      <c r="A80" s="84" t="s">
        <v>904</v>
      </c>
      <c r="B80" s="84"/>
      <c r="C80" s="85" t="s">
        <v>945</v>
      </c>
      <c r="D80" s="85"/>
      <c r="E80" s="85"/>
      <c r="F80" s="85"/>
      <c r="G80" s="85"/>
    </row>
    <row r="81" customFormat="false" ht="19.5" hidden="false" customHeight="true" outlineLevel="0" collapsed="false">
      <c r="A81" s="86" t="s">
        <v>906</v>
      </c>
      <c r="B81" s="86"/>
      <c r="C81" s="86" t="s">
        <v>907</v>
      </c>
      <c r="D81" s="86"/>
      <c r="E81" s="86"/>
      <c r="F81" s="86"/>
      <c r="G81" s="86" t="s">
        <v>908</v>
      </c>
    </row>
    <row r="83" customFormat="false" ht="24" hidden="false" customHeight="true" outlineLevel="0" collapsed="false">
      <c r="A83" s="80" t="s">
        <v>946</v>
      </c>
      <c r="B83" s="80"/>
      <c r="C83" s="80"/>
      <c r="D83" s="80"/>
      <c r="E83" s="80"/>
      <c r="F83" s="80"/>
      <c r="G83" s="80"/>
    </row>
    <row r="84" customFormat="false" ht="18" hidden="false" customHeight="true" outlineLevel="0" collapsed="false">
      <c r="A84" s="81" t="s">
        <v>947</v>
      </c>
      <c r="B84" s="81"/>
      <c r="C84" s="81"/>
      <c r="D84" s="81"/>
      <c r="E84" s="81"/>
      <c r="F84" s="81"/>
      <c r="G84" s="81"/>
    </row>
    <row r="85" customFormat="false" ht="15" hidden="false" customHeight="false" outlineLevel="0" collapsed="false">
      <c r="A85" s="82" t="s">
        <v>894</v>
      </c>
      <c r="B85" s="82" t="s">
        <v>142</v>
      </c>
      <c r="C85" s="82" t="s">
        <v>895</v>
      </c>
      <c r="D85" s="82" t="s">
        <v>523</v>
      </c>
      <c r="E85" s="82" t="s">
        <v>896</v>
      </c>
      <c r="F85" s="82" t="s">
        <v>897</v>
      </c>
      <c r="G85" s="82" t="s">
        <v>95</v>
      </c>
    </row>
    <row r="86" customFormat="false" ht="48" hidden="false" customHeight="true" outlineLevel="0" collapsed="false">
      <c r="A86" s="83" t="n">
        <v>1</v>
      </c>
      <c r="B86" s="61" t="s">
        <v>661</v>
      </c>
      <c r="C86" s="83" t="s">
        <v>934</v>
      </c>
      <c r="D86" s="56" t="s">
        <v>662</v>
      </c>
      <c r="E86" s="61" t="s">
        <v>948</v>
      </c>
      <c r="F86" s="61" t="s">
        <v>665</v>
      </c>
      <c r="G86" s="83" t="s">
        <v>943</v>
      </c>
    </row>
    <row r="87" customFormat="false" ht="109.5" hidden="false" customHeight="true" outlineLevel="0" collapsed="false">
      <c r="A87" s="84" t="s">
        <v>904</v>
      </c>
      <c r="B87" s="84"/>
      <c r="C87" s="85" t="s">
        <v>949</v>
      </c>
      <c r="D87" s="85"/>
      <c r="E87" s="85"/>
      <c r="F87" s="85"/>
      <c r="G87" s="85"/>
    </row>
    <row r="88" customFormat="false" ht="19.5" hidden="false" customHeight="true" outlineLevel="0" collapsed="false">
      <c r="A88" s="86" t="s">
        <v>906</v>
      </c>
      <c r="B88" s="86"/>
      <c r="C88" s="86" t="s">
        <v>907</v>
      </c>
      <c r="D88" s="86"/>
      <c r="E88" s="86"/>
      <c r="F88" s="86"/>
      <c r="G88" s="86" t="s">
        <v>908</v>
      </c>
    </row>
    <row r="90" customFormat="false" ht="24" hidden="false" customHeight="true" outlineLevel="0" collapsed="false">
      <c r="A90" s="80" t="s">
        <v>950</v>
      </c>
      <c r="B90" s="80"/>
      <c r="C90" s="80"/>
      <c r="D90" s="80"/>
      <c r="E90" s="80"/>
      <c r="F90" s="80"/>
      <c r="G90" s="80"/>
    </row>
    <row r="91" customFormat="false" ht="18" hidden="false" customHeight="true" outlineLevel="0" collapsed="false">
      <c r="A91" s="81" t="s">
        <v>951</v>
      </c>
      <c r="B91" s="81"/>
      <c r="C91" s="81"/>
      <c r="D91" s="81"/>
      <c r="E91" s="81"/>
      <c r="F91" s="81"/>
      <c r="G91" s="81"/>
    </row>
    <row r="92" customFormat="false" ht="15" hidden="false" customHeight="false" outlineLevel="0" collapsed="false">
      <c r="A92" s="82" t="s">
        <v>894</v>
      </c>
      <c r="B92" s="82" t="s">
        <v>142</v>
      </c>
      <c r="C92" s="82" t="s">
        <v>895</v>
      </c>
      <c r="D92" s="82" t="s">
        <v>523</v>
      </c>
      <c r="E92" s="82" t="s">
        <v>896</v>
      </c>
      <c r="F92" s="82" t="s">
        <v>897</v>
      </c>
      <c r="G92" s="82" t="s">
        <v>95</v>
      </c>
    </row>
    <row r="93" customFormat="false" ht="48" hidden="false" customHeight="true" outlineLevel="0" collapsed="false">
      <c r="A93" s="83" t="n">
        <v>1</v>
      </c>
      <c r="B93" s="56" t="s">
        <v>667</v>
      </c>
      <c r="C93" s="83" t="s">
        <v>901</v>
      </c>
      <c r="D93" s="56" t="s">
        <v>654</v>
      </c>
      <c r="E93" s="61" t="s">
        <v>944</v>
      </c>
      <c r="F93" s="61" t="s">
        <v>659</v>
      </c>
      <c r="G93" s="83" t="s">
        <v>943</v>
      </c>
    </row>
    <row r="94" customFormat="false" ht="48" hidden="false" customHeight="true" outlineLevel="0" collapsed="false">
      <c r="A94" s="83" t="n">
        <v>2</v>
      </c>
      <c r="B94" s="61" t="s">
        <v>668</v>
      </c>
      <c r="C94" s="83" t="s">
        <v>898</v>
      </c>
      <c r="D94" s="56" t="s">
        <v>654</v>
      </c>
      <c r="E94" s="61" t="s">
        <v>944</v>
      </c>
      <c r="F94" s="61" t="s">
        <v>659</v>
      </c>
      <c r="G94" s="83" t="s">
        <v>943</v>
      </c>
    </row>
    <row r="95" customFormat="false" ht="48" hidden="false" customHeight="true" outlineLevel="0" collapsed="false">
      <c r="A95" s="83" t="n">
        <v>3</v>
      </c>
      <c r="B95" s="56" t="s">
        <v>669</v>
      </c>
      <c r="C95" s="83" t="s">
        <v>898</v>
      </c>
      <c r="D95" s="56" t="s">
        <v>654</v>
      </c>
      <c r="E95" s="61" t="s">
        <v>944</v>
      </c>
      <c r="F95" s="61" t="s">
        <v>659</v>
      </c>
      <c r="G95" s="83" t="s">
        <v>943</v>
      </c>
    </row>
    <row r="96" customFormat="false" ht="109.5" hidden="false" customHeight="true" outlineLevel="0" collapsed="false">
      <c r="A96" s="84" t="s">
        <v>904</v>
      </c>
      <c r="B96" s="84"/>
      <c r="C96" s="85" t="s">
        <v>952</v>
      </c>
      <c r="D96" s="85"/>
      <c r="E96" s="85"/>
      <c r="F96" s="85"/>
      <c r="G96" s="85"/>
    </row>
    <row r="97" customFormat="false" ht="19.5" hidden="false" customHeight="true" outlineLevel="0" collapsed="false">
      <c r="A97" s="87" t="s">
        <v>906</v>
      </c>
      <c r="B97" s="87"/>
      <c r="C97" s="87" t="s">
        <v>930</v>
      </c>
      <c r="D97" s="87"/>
      <c r="E97" s="87"/>
      <c r="F97" s="87"/>
      <c r="G97" s="87" t="s">
        <v>931</v>
      </c>
    </row>
    <row r="99" customFormat="false" ht="24" hidden="false" customHeight="true" outlineLevel="0" collapsed="false">
      <c r="A99" s="80" t="s">
        <v>953</v>
      </c>
      <c r="B99" s="80"/>
      <c r="C99" s="80"/>
      <c r="D99" s="80"/>
      <c r="E99" s="80"/>
      <c r="F99" s="80"/>
      <c r="G99" s="80"/>
    </row>
    <row r="100" customFormat="false" ht="18" hidden="false" customHeight="true" outlineLevel="0" collapsed="false">
      <c r="A100" s="81" t="s">
        <v>954</v>
      </c>
      <c r="B100" s="81"/>
      <c r="C100" s="81"/>
      <c r="D100" s="81"/>
      <c r="E100" s="81"/>
      <c r="F100" s="81"/>
      <c r="G100" s="81"/>
    </row>
    <row r="101" customFormat="false" ht="15" hidden="false" customHeight="false" outlineLevel="0" collapsed="false">
      <c r="A101" s="82" t="s">
        <v>894</v>
      </c>
      <c r="B101" s="82" t="s">
        <v>142</v>
      </c>
      <c r="C101" s="82" t="s">
        <v>895</v>
      </c>
      <c r="D101" s="82" t="s">
        <v>523</v>
      </c>
      <c r="E101" s="82" t="s">
        <v>896</v>
      </c>
      <c r="F101" s="82" t="s">
        <v>897</v>
      </c>
      <c r="G101" s="82" t="s">
        <v>95</v>
      </c>
    </row>
    <row r="102" customFormat="false" ht="48" hidden="false" customHeight="true" outlineLevel="0" collapsed="false">
      <c r="A102" s="83" t="n">
        <v>1</v>
      </c>
      <c r="B102" s="56" t="s">
        <v>671</v>
      </c>
      <c r="C102" s="83" t="s">
        <v>934</v>
      </c>
      <c r="D102" s="56" t="s">
        <v>672</v>
      </c>
      <c r="E102" s="61" t="s">
        <v>955</v>
      </c>
      <c r="F102" s="61" t="s">
        <v>675</v>
      </c>
      <c r="G102" s="83" t="s">
        <v>943</v>
      </c>
    </row>
    <row r="103" customFormat="false" ht="109.5" hidden="false" customHeight="true" outlineLevel="0" collapsed="false">
      <c r="A103" s="84" t="s">
        <v>904</v>
      </c>
      <c r="B103" s="84"/>
      <c r="C103" s="85" t="s">
        <v>956</v>
      </c>
      <c r="D103" s="85"/>
      <c r="E103" s="85"/>
      <c r="F103" s="85"/>
      <c r="G103" s="85"/>
    </row>
    <row r="104" customFormat="false" ht="19.5" hidden="false" customHeight="true" outlineLevel="0" collapsed="false">
      <c r="A104" s="86" t="s">
        <v>906</v>
      </c>
      <c r="B104" s="86"/>
      <c r="C104" s="86" t="s">
        <v>907</v>
      </c>
      <c r="D104" s="86"/>
      <c r="E104" s="86"/>
      <c r="F104" s="86"/>
      <c r="G104" s="86" t="s">
        <v>908</v>
      </c>
    </row>
    <row r="106" customFormat="false" ht="24" hidden="false" customHeight="true" outlineLevel="0" collapsed="false">
      <c r="A106" s="80" t="s">
        <v>957</v>
      </c>
      <c r="B106" s="80"/>
      <c r="C106" s="80"/>
      <c r="D106" s="80"/>
      <c r="E106" s="80"/>
      <c r="F106" s="80"/>
      <c r="G106" s="80"/>
    </row>
    <row r="107" customFormat="false" ht="18" hidden="false" customHeight="true" outlineLevel="0" collapsed="false">
      <c r="A107" s="81" t="s">
        <v>958</v>
      </c>
      <c r="B107" s="81"/>
      <c r="C107" s="81"/>
      <c r="D107" s="81"/>
      <c r="E107" s="81"/>
      <c r="F107" s="81"/>
      <c r="G107" s="81"/>
    </row>
    <row r="108" customFormat="false" ht="15" hidden="false" customHeight="false" outlineLevel="0" collapsed="false">
      <c r="A108" s="82" t="s">
        <v>894</v>
      </c>
      <c r="B108" s="82" t="s">
        <v>142</v>
      </c>
      <c r="C108" s="82" t="s">
        <v>895</v>
      </c>
      <c r="D108" s="82" t="s">
        <v>523</v>
      </c>
      <c r="E108" s="82" t="s">
        <v>896</v>
      </c>
      <c r="F108" s="82" t="s">
        <v>897</v>
      </c>
      <c r="G108" s="82" t="s">
        <v>95</v>
      </c>
    </row>
    <row r="109" customFormat="false" ht="48" hidden="false" customHeight="true" outlineLevel="0" collapsed="false">
      <c r="A109" s="83" t="n">
        <v>1</v>
      </c>
      <c r="B109" s="61" t="s">
        <v>677</v>
      </c>
      <c r="C109" s="83" t="s">
        <v>934</v>
      </c>
      <c r="D109" s="56" t="s">
        <v>678</v>
      </c>
      <c r="E109" s="61" t="s">
        <v>959</v>
      </c>
      <c r="F109" s="61" t="s">
        <v>681</v>
      </c>
      <c r="G109" s="83" t="s">
        <v>943</v>
      </c>
    </row>
    <row r="110" customFormat="false" ht="109.5" hidden="false" customHeight="true" outlineLevel="0" collapsed="false">
      <c r="A110" s="84" t="s">
        <v>904</v>
      </c>
      <c r="B110" s="84"/>
      <c r="C110" s="85" t="s">
        <v>960</v>
      </c>
      <c r="D110" s="85"/>
      <c r="E110" s="85"/>
      <c r="F110" s="85"/>
      <c r="G110" s="85"/>
    </row>
    <row r="111" customFormat="false" ht="19.5" hidden="false" customHeight="true" outlineLevel="0" collapsed="false">
      <c r="A111" s="86" t="s">
        <v>906</v>
      </c>
      <c r="B111" s="86"/>
      <c r="C111" s="86" t="s">
        <v>907</v>
      </c>
      <c r="D111" s="86"/>
      <c r="E111" s="86"/>
      <c r="F111" s="86"/>
      <c r="G111" s="86" t="s">
        <v>908</v>
      </c>
    </row>
    <row r="113" customFormat="false" ht="24" hidden="false" customHeight="true" outlineLevel="0" collapsed="false">
      <c r="A113" s="80" t="s">
        <v>961</v>
      </c>
      <c r="B113" s="80"/>
      <c r="C113" s="80"/>
      <c r="D113" s="80"/>
      <c r="E113" s="80"/>
      <c r="F113" s="80"/>
      <c r="G113" s="80"/>
    </row>
    <row r="114" customFormat="false" ht="18" hidden="false" customHeight="true" outlineLevel="0" collapsed="false">
      <c r="A114" s="81" t="s">
        <v>962</v>
      </c>
      <c r="B114" s="81"/>
      <c r="C114" s="81"/>
      <c r="D114" s="81"/>
      <c r="E114" s="81"/>
      <c r="F114" s="81"/>
      <c r="G114" s="81"/>
    </row>
    <row r="115" customFormat="false" ht="15" hidden="false" customHeight="false" outlineLevel="0" collapsed="false">
      <c r="A115" s="82" t="s">
        <v>894</v>
      </c>
      <c r="B115" s="82" t="s">
        <v>142</v>
      </c>
      <c r="C115" s="82" t="s">
        <v>895</v>
      </c>
      <c r="D115" s="82" t="s">
        <v>523</v>
      </c>
      <c r="E115" s="82" t="s">
        <v>896</v>
      </c>
      <c r="F115" s="82" t="s">
        <v>897</v>
      </c>
      <c r="G115" s="82" t="s">
        <v>95</v>
      </c>
    </row>
    <row r="116" customFormat="false" ht="48" hidden="false" customHeight="true" outlineLevel="0" collapsed="false">
      <c r="A116" s="83" t="n">
        <v>1</v>
      </c>
      <c r="B116" s="61" t="s">
        <v>683</v>
      </c>
      <c r="C116" s="83" t="s">
        <v>934</v>
      </c>
      <c r="D116" s="56" t="s">
        <v>684</v>
      </c>
      <c r="E116" s="61" t="s">
        <v>948</v>
      </c>
      <c r="F116" s="61" t="s">
        <v>665</v>
      </c>
      <c r="G116" s="83" t="s">
        <v>943</v>
      </c>
    </row>
    <row r="117" customFormat="false" ht="48" hidden="false" customHeight="true" outlineLevel="0" collapsed="false">
      <c r="A117" s="83" t="n">
        <v>2</v>
      </c>
      <c r="B117" s="56" t="s">
        <v>685</v>
      </c>
      <c r="C117" s="83" t="s">
        <v>934</v>
      </c>
      <c r="D117" s="56" t="s">
        <v>672</v>
      </c>
      <c r="E117" s="61" t="s">
        <v>948</v>
      </c>
      <c r="F117" s="61" t="s">
        <v>665</v>
      </c>
      <c r="G117" s="83" t="s">
        <v>943</v>
      </c>
    </row>
    <row r="118" customFormat="false" ht="109.5" hidden="false" customHeight="true" outlineLevel="0" collapsed="false">
      <c r="A118" s="84" t="s">
        <v>904</v>
      </c>
      <c r="B118" s="84"/>
      <c r="C118" s="85" t="s">
        <v>963</v>
      </c>
      <c r="D118" s="85"/>
      <c r="E118" s="85"/>
      <c r="F118" s="85"/>
      <c r="G118" s="85"/>
    </row>
    <row r="119" customFormat="false" ht="19.5" hidden="false" customHeight="true" outlineLevel="0" collapsed="false">
      <c r="A119" s="86" t="s">
        <v>906</v>
      </c>
      <c r="B119" s="86"/>
      <c r="C119" s="86" t="s">
        <v>907</v>
      </c>
      <c r="D119" s="86"/>
      <c r="E119" s="86"/>
      <c r="F119" s="86"/>
      <c r="G119" s="86" t="s">
        <v>908</v>
      </c>
    </row>
    <row r="121" customFormat="false" ht="24" hidden="false" customHeight="true" outlineLevel="0" collapsed="false">
      <c r="A121" s="80" t="s">
        <v>964</v>
      </c>
      <c r="B121" s="80"/>
      <c r="C121" s="80"/>
      <c r="D121" s="80"/>
      <c r="E121" s="80"/>
      <c r="F121" s="80"/>
      <c r="G121" s="80"/>
    </row>
    <row r="122" customFormat="false" ht="18" hidden="false" customHeight="true" outlineLevel="0" collapsed="false">
      <c r="A122" s="81" t="s">
        <v>965</v>
      </c>
      <c r="B122" s="81"/>
      <c r="C122" s="81"/>
      <c r="D122" s="81"/>
      <c r="E122" s="81"/>
      <c r="F122" s="81"/>
      <c r="G122" s="81"/>
    </row>
    <row r="123" customFormat="false" ht="15" hidden="false" customHeight="false" outlineLevel="0" collapsed="false">
      <c r="A123" s="82" t="s">
        <v>894</v>
      </c>
      <c r="B123" s="82" t="s">
        <v>142</v>
      </c>
      <c r="C123" s="82" t="s">
        <v>895</v>
      </c>
      <c r="D123" s="82" t="s">
        <v>523</v>
      </c>
      <c r="E123" s="82" t="s">
        <v>896</v>
      </c>
      <c r="F123" s="82" t="s">
        <v>897</v>
      </c>
      <c r="G123" s="82" t="s">
        <v>95</v>
      </c>
    </row>
    <row r="124" customFormat="false" ht="48" hidden="false" customHeight="true" outlineLevel="0" collapsed="false">
      <c r="A124" s="83" t="n">
        <v>1</v>
      </c>
      <c r="B124" s="56" t="s">
        <v>687</v>
      </c>
      <c r="C124" s="83" t="s">
        <v>934</v>
      </c>
      <c r="D124" s="56" t="s">
        <v>688</v>
      </c>
      <c r="E124" s="61" t="s">
        <v>912</v>
      </c>
      <c r="F124" s="56" t="s">
        <v>558</v>
      </c>
      <c r="G124" s="83" t="s">
        <v>943</v>
      </c>
    </row>
    <row r="125" customFormat="false" ht="48" hidden="false" customHeight="true" outlineLevel="0" collapsed="false">
      <c r="A125" s="83" t="n">
        <v>2</v>
      </c>
      <c r="B125" s="56" t="s">
        <v>689</v>
      </c>
      <c r="C125" s="83" t="s">
        <v>901</v>
      </c>
      <c r="D125" s="56" t="s">
        <v>688</v>
      </c>
      <c r="E125" s="61" t="s">
        <v>948</v>
      </c>
      <c r="F125" s="61" t="s">
        <v>665</v>
      </c>
      <c r="G125" s="83" t="s">
        <v>943</v>
      </c>
    </row>
    <row r="126" customFormat="false" ht="48" hidden="false" customHeight="true" outlineLevel="0" collapsed="false">
      <c r="A126" s="83" t="n">
        <v>3</v>
      </c>
      <c r="B126" s="56" t="s">
        <v>690</v>
      </c>
      <c r="C126" s="83" t="s">
        <v>934</v>
      </c>
      <c r="D126" s="56" t="s">
        <v>691</v>
      </c>
      <c r="E126" s="56" t="s">
        <v>966</v>
      </c>
      <c r="F126" s="61" t="s">
        <v>694</v>
      </c>
      <c r="G126" s="83" t="s">
        <v>943</v>
      </c>
    </row>
    <row r="127" customFormat="false" ht="109.5" hidden="false" customHeight="true" outlineLevel="0" collapsed="false">
      <c r="A127" s="84" t="s">
        <v>904</v>
      </c>
      <c r="B127" s="84"/>
      <c r="C127" s="85" t="s">
        <v>967</v>
      </c>
      <c r="D127" s="85"/>
      <c r="E127" s="85"/>
      <c r="F127" s="85"/>
      <c r="G127" s="85"/>
    </row>
    <row r="128" customFormat="false" ht="19.5" hidden="false" customHeight="true" outlineLevel="0" collapsed="false">
      <c r="A128" s="86" t="s">
        <v>906</v>
      </c>
      <c r="B128" s="86"/>
      <c r="C128" s="86" t="s">
        <v>907</v>
      </c>
      <c r="D128" s="86"/>
      <c r="E128" s="86"/>
      <c r="F128" s="86"/>
      <c r="G128" s="86" t="s">
        <v>908</v>
      </c>
    </row>
    <row r="130" customFormat="false" ht="24" hidden="false" customHeight="true" outlineLevel="0" collapsed="false">
      <c r="A130" s="80" t="s">
        <v>968</v>
      </c>
      <c r="B130" s="80"/>
      <c r="C130" s="80"/>
      <c r="D130" s="80"/>
      <c r="E130" s="80"/>
      <c r="F130" s="80"/>
      <c r="G130" s="80"/>
    </row>
    <row r="131" customFormat="false" ht="18" hidden="false" customHeight="true" outlineLevel="0" collapsed="false">
      <c r="A131" s="81" t="s">
        <v>969</v>
      </c>
      <c r="B131" s="81"/>
      <c r="C131" s="81"/>
      <c r="D131" s="81"/>
      <c r="E131" s="81"/>
      <c r="F131" s="81"/>
      <c r="G131" s="81"/>
    </row>
    <row r="132" customFormat="false" ht="15" hidden="false" customHeight="false" outlineLevel="0" collapsed="false">
      <c r="A132" s="82" t="s">
        <v>894</v>
      </c>
      <c r="B132" s="82" t="s">
        <v>142</v>
      </c>
      <c r="C132" s="82" t="s">
        <v>895</v>
      </c>
      <c r="D132" s="82" t="s">
        <v>523</v>
      </c>
      <c r="E132" s="82" t="s">
        <v>896</v>
      </c>
      <c r="F132" s="82" t="s">
        <v>897</v>
      </c>
      <c r="G132" s="82" t="s">
        <v>95</v>
      </c>
    </row>
    <row r="133" customFormat="false" ht="48" hidden="false" customHeight="true" outlineLevel="0" collapsed="false">
      <c r="A133" s="83" t="n">
        <v>1</v>
      </c>
      <c r="B133" s="61" t="s">
        <v>696</v>
      </c>
      <c r="C133" s="83" t="s">
        <v>901</v>
      </c>
      <c r="D133" s="56" t="s">
        <v>636</v>
      </c>
      <c r="E133" s="61" t="s">
        <v>948</v>
      </c>
      <c r="F133" s="61" t="s">
        <v>665</v>
      </c>
      <c r="G133" s="83" t="s">
        <v>943</v>
      </c>
    </row>
    <row r="134" customFormat="false" ht="48" hidden="false" customHeight="true" outlineLevel="0" collapsed="false">
      <c r="A134" s="83" t="n">
        <v>2</v>
      </c>
      <c r="B134" s="56" t="s">
        <v>697</v>
      </c>
      <c r="C134" s="83" t="s">
        <v>934</v>
      </c>
      <c r="D134" s="56" t="s">
        <v>672</v>
      </c>
      <c r="E134" s="61" t="s">
        <v>948</v>
      </c>
      <c r="F134" s="61" t="s">
        <v>665</v>
      </c>
      <c r="G134" s="83" t="s">
        <v>943</v>
      </c>
    </row>
    <row r="135" customFormat="false" ht="109.5" hidden="false" customHeight="true" outlineLevel="0" collapsed="false">
      <c r="A135" s="84" t="s">
        <v>904</v>
      </c>
      <c r="B135" s="84"/>
      <c r="C135" s="85" t="s">
        <v>970</v>
      </c>
      <c r="D135" s="85"/>
      <c r="E135" s="85"/>
      <c r="F135" s="85"/>
      <c r="G135" s="85"/>
    </row>
    <row r="136" customFormat="false" ht="19.5" hidden="false" customHeight="true" outlineLevel="0" collapsed="false">
      <c r="A136" s="87" t="s">
        <v>906</v>
      </c>
      <c r="B136" s="87"/>
      <c r="C136" s="87" t="s">
        <v>930</v>
      </c>
      <c r="D136" s="87"/>
      <c r="E136" s="87"/>
      <c r="F136" s="87"/>
      <c r="G136" s="87" t="s">
        <v>931</v>
      </c>
    </row>
    <row r="138" customFormat="false" ht="24" hidden="false" customHeight="true" outlineLevel="0" collapsed="false">
      <c r="A138" s="80" t="s">
        <v>971</v>
      </c>
      <c r="B138" s="80"/>
      <c r="C138" s="80"/>
      <c r="D138" s="80"/>
      <c r="E138" s="80"/>
      <c r="F138" s="80"/>
      <c r="G138" s="80"/>
    </row>
    <row r="139" customFormat="false" ht="18" hidden="false" customHeight="true" outlineLevel="0" collapsed="false">
      <c r="A139" s="81" t="s">
        <v>972</v>
      </c>
      <c r="B139" s="81"/>
      <c r="C139" s="81"/>
      <c r="D139" s="81"/>
      <c r="E139" s="81"/>
      <c r="F139" s="81"/>
      <c r="G139" s="81"/>
    </row>
    <row r="140" customFormat="false" ht="15" hidden="false" customHeight="false" outlineLevel="0" collapsed="false">
      <c r="A140" s="82" t="s">
        <v>894</v>
      </c>
      <c r="B140" s="82" t="s">
        <v>142</v>
      </c>
      <c r="C140" s="82" t="s">
        <v>895</v>
      </c>
      <c r="D140" s="82" t="s">
        <v>523</v>
      </c>
      <c r="E140" s="82" t="s">
        <v>896</v>
      </c>
      <c r="F140" s="82" t="s">
        <v>897</v>
      </c>
      <c r="G140" s="82" t="s">
        <v>95</v>
      </c>
    </row>
    <row r="141" customFormat="false" ht="48" hidden="false" customHeight="true" outlineLevel="0" collapsed="false">
      <c r="A141" s="83" t="n">
        <v>1</v>
      </c>
      <c r="B141" s="61" t="s">
        <v>700</v>
      </c>
      <c r="C141" s="83" t="s">
        <v>934</v>
      </c>
      <c r="D141" s="56" t="s">
        <v>701</v>
      </c>
      <c r="E141" s="61" t="s">
        <v>973</v>
      </c>
      <c r="F141" s="61" t="s">
        <v>704</v>
      </c>
      <c r="G141" s="83" t="s">
        <v>943</v>
      </c>
    </row>
    <row r="142" customFormat="false" ht="48" hidden="false" customHeight="true" outlineLevel="0" collapsed="false">
      <c r="A142" s="83" t="n">
        <v>2</v>
      </c>
      <c r="B142" s="56" t="s">
        <v>705</v>
      </c>
      <c r="C142" s="83" t="s">
        <v>898</v>
      </c>
      <c r="D142" s="61" t="s">
        <v>607</v>
      </c>
      <c r="E142" s="61" t="s">
        <v>973</v>
      </c>
      <c r="F142" s="61" t="s">
        <v>704</v>
      </c>
      <c r="G142" s="83" t="s">
        <v>943</v>
      </c>
    </row>
    <row r="143" customFormat="false" ht="109.5" hidden="false" customHeight="true" outlineLevel="0" collapsed="false">
      <c r="A143" s="84" t="s">
        <v>904</v>
      </c>
      <c r="B143" s="84"/>
      <c r="C143" s="85" t="s">
        <v>974</v>
      </c>
      <c r="D143" s="85"/>
      <c r="E143" s="85"/>
      <c r="F143" s="85"/>
      <c r="G143" s="85"/>
    </row>
    <row r="144" customFormat="false" ht="19.5" hidden="false" customHeight="true" outlineLevel="0" collapsed="false">
      <c r="A144" s="86" t="s">
        <v>906</v>
      </c>
      <c r="B144" s="86"/>
      <c r="C144" s="86" t="s">
        <v>907</v>
      </c>
      <c r="D144" s="86"/>
      <c r="E144" s="86"/>
      <c r="F144" s="86"/>
      <c r="G144" s="86" t="s">
        <v>908</v>
      </c>
    </row>
    <row r="146" customFormat="false" ht="24" hidden="false" customHeight="true" outlineLevel="0" collapsed="false">
      <c r="A146" s="80" t="s">
        <v>975</v>
      </c>
      <c r="B146" s="80"/>
      <c r="C146" s="80"/>
      <c r="D146" s="80"/>
      <c r="E146" s="80"/>
      <c r="F146" s="80"/>
      <c r="G146" s="80"/>
    </row>
    <row r="147" customFormat="false" ht="18" hidden="false" customHeight="true" outlineLevel="0" collapsed="false">
      <c r="A147" s="81" t="s">
        <v>976</v>
      </c>
      <c r="B147" s="81"/>
      <c r="C147" s="81"/>
      <c r="D147" s="81"/>
      <c r="E147" s="81"/>
      <c r="F147" s="81"/>
      <c r="G147" s="81"/>
    </row>
    <row r="148" customFormat="false" ht="15" hidden="false" customHeight="false" outlineLevel="0" collapsed="false">
      <c r="A148" s="82" t="s">
        <v>894</v>
      </c>
      <c r="B148" s="82" t="s">
        <v>142</v>
      </c>
      <c r="C148" s="82" t="s">
        <v>895</v>
      </c>
      <c r="D148" s="82" t="s">
        <v>523</v>
      </c>
      <c r="E148" s="82" t="s">
        <v>896</v>
      </c>
      <c r="F148" s="82" t="s">
        <v>897</v>
      </c>
      <c r="G148" s="82" t="s">
        <v>95</v>
      </c>
    </row>
    <row r="149" customFormat="false" ht="48" hidden="false" customHeight="true" outlineLevel="0" collapsed="false">
      <c r="A149" s="83" t="n">
        <v>1</v>
      </c>
      <c r="B149" s="61" t="s">
        <v>707</v>
      </c>
      <c r="C149" s="83" t="s">
        <v>934</v>
      </c>
      <c r="D149" s="56" t="s">
        <v>672</v>
      </c>
      <c r="E149" s="61" t="s">
        <v>948</v>
      </c>
      <c r="F149" s="61" t="s">
        <v>665</v>
      </c>
      <c r="G149" s="83" t="s">
        <v>943</v>
      </c>
    </row>
    <row r="150" customFormat="false" ht="48" hidden="false" customHeight="true" outlineLevel="0" collapsed="false">
      <c r="A150" s="83" t="n">
        <v>2</v>
      </c>
      <c r="B150" s="61" t="s">
        <v>708</v>
      </c>
      <c r="C150" s="83" t="s">
        <v>934</v>
      </c>
      <c r="D150" s="56" t="s">
        <v>684</v>
      </c>
      <c r="E150" s="61" t="s">
        <v>948</v>
      </c>
      <c r="F150" s="61" t="s">
        <v>665</v>
      </c>
      <c r="G150" s="83" t="s">
        <v>943</v>
      </c>
    </row>
    <row r="151" customFormat="false" ht="109.5" hidden="false" customHeight="true" outlineLevel="0" collapsed="false">
      <c r="A151" s="84" t="s">
        <v>904</v>
      </c>
      <c r="B151" s="84"/>
      <c r="C151" s="85" t="s">
        <v>977</v>
      </c>
      <c r="D151" s="85"/>
      <c r="E151" s="85"/>
      <c r="F151" s="85"/>
      <c r="G151" s="85"/>
    </row>
    <row r="152" customFormat="false" ht="19.5" hidden="false" customHeight="true" outlineLevel="0" collapsed="false">
      <c r="A152" s="86" t="s">
        <v>906</v>
      </c>
      <c r="B152" s="86"/>
      <c r="C152" s="86" t="s">
        <v>907</v>
      </c>
      <c r="D152" s="86"/>
      <c r="E152" s="86"/>
      <c r="F152" s="86"/>
      <c r="G152" s="86" t="s">
        <v>908</v>
      </c>
    </row>
    <row r="154" customFormat="false" ht="24" hidden="false" customHeight="true" outlineLevel="0" collapsed="false">
      <c r="A154" s="80" t="s">
        <v>978</v>
      </c>
      <c r="B154" s="80"/>
      <c r="C154" s="80"/>
      <c r="D154" s="80"/>
      <c r="E154" s="80"/>
      <c r="F154" s="80"/>
      <c r="G154" s="80"/>
    </row>
    <row r="155" customFormat="false" ht="18" hidden="false" customHeight="true" outlineLevel="0" collapsed="false">
      <c r="A155" s="81" t="s">
        <v>979</v>
      </c>
      <c r="B155" s="81"/>
      <c r="C155" s="81"/>
      <c r="D155" s="81"/>
      <c r="E155" s="81"/>
      <c r="F155" s="81"/>
      <c r="G155" s="81"/>
    </row>
    <row r="156" customFormat="false" ht="15" hidden="false" customHeight="false" outlineLevel="0" collapsed="false">
      <c r="A156" s="82" t="s">
        <v>894</v>
      </c>
      <c r="B156" s="82" t="s">
        <v>142</v>
      </c>
      <c r="C156" s="82" t="s">
        <v>895</v>
      </c>
      <c r="D156" s="82" t="s">
        <v>523</v>
      </c>
      <c r="E156" s="82" t="s">
        <v>896</v>
      </c>
      <c r="F156" s="82" t="s">
        <v>897</v>
      </c>
      <c r="G156" s="82" t="s">
        <v>95</v>
      </c>
    </row>
    <row r="157" customFormat="false" ht="48" hidden="false" customHeight="true" outlineLevel="0" collapsed="false">
      <c r="A157" s="83" t="n">
        <v>1</v>
      </c>
      <c r="B157" s="61" t="s">
        <v>710</v>
      </c>
      <c r="C157" s="83" t="s">
        <v>901</v>
      </c>
      <c r="D157" s="56" t="s">
        <v>711</v>
      </c>
      <c r="E157" s="56" t="s">
        <v>980</v>
      </c>
      <c r="F157" s="61" t="s">
        <v>714</v>
      </c>
      <c r="G157" s="83" t="s">
        <v>943</v>
      </c>
    </row>
    <row r="158" customFormat="false" ht="48" hidden="false" customHeight="true" outlineLevel="0" collapsed="false">
      <c r="A158" s="83" t="n">
        <v>2</v>
      </c>
      <c r="B158" s="56" t="s">
        <v>715</v>
      </c>
      <c r="C158" s="83" t="s">
        <v>934</v>
      </c>
      <c r="D158" s="56" t="s">
        <v>716</v>
      </c>
      <c r="E158" s="61" t="s">
        <v>973</v>
      </c>
      <c r="F158" s="61" t="s">
        <v>704</v>
      </c>
      <c r="G158" s="83" t="s">
        <v>943</v>
      </c>
    </row>
    <row r="159" customFormat="false" ht="109.5" hidden="false" customHeight="true" outlineLevel="0" collapsed="false">
      <c r="A159" s="84" t="s">
        <v>904</v>
      </c>
      <c r="B159" s="84"/>
      <c r="C159" s="85" t="s">
        <v>981</v>
      </c>
      <c r="D159" s="85"/>
      <c r="E159" s="85"/>
      <c r="F159" s="85"/>
      <c r="G159" s="85"/>
    </row>
    <row r="160" customFormat="false" ht="19.5" hidden="false" customHeight="true" outlineLevel="0" collapsed="false">
      <c r="A160" s="86" t="s">
        <v>906</v>
      </c>
      <c r="B160" s="86"/>
      <c r="C160" s="86" t="s">
        <v>907</v>
      </c>
      <c r="D160" s="86"/>
      <c r="E160" s="86"/>
      <c r="F160" s="86"/>
      <c r="G160" s="86" t="s">
        <v>908</v>
      </c>
    </row>
    <row r="162" customFormat="false" ht="24" hidden="false" customHeight="true" outlineLevel="0" collapsed="false">
      <c r="A162" s="80" t="s">
        <v>982</v>
      </c>
      <c r="B162" s="80"/>
      <c r="C162" s="80"/>
      <c r="D162" s="80"/>
      <c r="E162" s="80"/>
      <c r="F162" s="80"/>
      <c r="G162" s="80"/>
    </row>
    <row r="163" customFormat="false" ht="18" hidden="false" customHeight="true" outlineLevel="0" collapsed="false">
      <c r="A163" s="81" t="s">
        <v>983</v>
      </c>
      <c r="B163" s="81"/>
      <c r="C163" s="81"/>
      <c r="D163" s="81"/>
      <c r="E163" s="81"/>
      <c r="F163" s="81"/>
      <c r="G163" s="81"/>
    </row>
    <row r="164" customFormat="false" ht="15" hidden="false" customHeight="false" outlineLevel="0" collapsed="false">
      <c r="A164" s="82" t="s">
        <v>894</v>
      </c>
      <c r="B164" s="82" t="s">
        <v>142</v>
      </c>
      <c r="C164" s="82" t="s">
        <v>895</v>
      </c>
      <c r="D164" s="82" t="s">
        <v>523</v>
      </c>
      <c r="E164" s="82" t="s">
        <v>896</v>
      </c>
      <c r="F164" s="82" t="s">
        <v>897</v>
      </c>
      <c r="G164" s="82" t="s">
        <v>95</v>
      </c>
    </row>
    <row r="165" customFormat="false" ht="48" hidden="false" customHeight="true" outlineLevel="0" collapsed="false">
      <c r="A165" s="83" t="n">
        <v>1</v>
      </c>
      <c r="B165" s="56" t="s">
        <v>718</v>
      </c>
      <c r="C165" s="83" t="s">
        <v>934</v>
      </c>
      <c r="D165" s="56" t="s">
        <v>636</v>
      </c>
      <c r="E165" s="61" t="s">
        <v>973</v>
      </c>
      <c r="F165" s="61" t="s">
        <v>704</v>
      </c>
      <c r="G165" s="83" t="s">
        <v>943</v>
      </c>
    </row>
    <row r="166" customFormat="false" ht="48" hidden="false" customHeight="true" outlineLevel="0" collapsed="false">
      <c r="A166" s="83" t="n">
        <v>2</v>
      </c>
      <c r="B166" s="61" t="s">
        <v>719</v>
      </c>
      <c r="C166" s="83" t="s">
        <v>934</v>
      </c>
      <c r="D166" s="56" t="s">
        <v>720</v>
      </c>
      <c r="E166" s="61" t="s">
        <v>973</v>
      </c>
      <c r="F166" s="61" t="s">
        <v>704</v>
      </c>
      <c r="G166" s="83" t="s">
        <v>943</v>
      </c>
    </row>
    <row r="167" customFormat="false" ht="109.5" hidden="false" customHeight="true" outlineLevel="0" collapsed="false">
      <c r="A167" s="84" t="s">
        <v>904</v>
      </c>
      <c r="B167" s="84"/>
      <c r="C167" s="85" t="s">
        <v>984</v>
      </c>
      <c r="D167" s="85"/>
      <c r="E167" s="85"/>
      <c r="F167" s="85"/>
      <c r="G167" s="85"/>
    </row>
    <row r="168" customFormat="false" ht="19.5" hidden="false" customHeight="true" outlineLevel="0" collapsed="false">
      <c r="A168" s="86" t="s">
        <v>906</v>
      </c>
      <c r="B168" s="86"/>
      <c r="C168" s="86" t="s">
        <v>907</v>
      </c>
      <c r="D168" s="86"/>
      <c r="E168" s="86"/>
      <c r="F168" s="86"/>
      <c r="G168" s="86" t="s">
        <v>908</v>
      </c>
    </row>
    <row r="170" customFormat="false" ht="24" hidden="false" customHeight="true" outlineLevel="0" collapsed="false">
      <c r="A170" s="80" t="s">
        <v>985</v>
      </c>
      <c r="B170" s="80"/>
      <c r="C170" s="80"/>
      <c r="D170" s="80"/>
      <c r="E170" s="80"/>
      <c r="F170" s="80"/>
      <c r="G170" s="80"/>
    </row>
    <row r="171" customFormat="false" ht="18" hidden="false" customHeight="true" outlineLevel="0" collapsed="false">
      <c r="A171" s="81" t="s">
        <v>986</v>
      </c>
      <c r="B171" s="81"/>
      <c r="C171" s="81"/>
      <c r="D171" s="81"/>
      <c r="E171" s="81"/>
      <c r="F171" s="81"/>
      <c r="G171" s="81"/>
    </row>
    <row r="172" customFormat="false" ht="15" hidden="false" customHeight="false" outlineLevel="0" collapsed="false">
      <c r="A172" s="82" t="s">
        <v>894</v>
      </c>
      <c r="B172" s="82" t="s">
        <v>142</v>
      </c>
      <c r="C172" s="82" t="s">
        <v>895</v>
      </c>
      <c r="D172" s="82" t="s">
        <v>523</v>
      </c>
      <c r="E172" s="82" t="s">
        <v>896</v>
      </c>
      <c r="F172" s="82" t="s">
        <v>897</v>
      </c>
      <c r="G172" s="82" t="s">
        <v>95</v>
      </c>
    </row>
    <row r="173" customFormat="false" ht="48" hidden="false" customHeight="true" outlineLevel="0" collapsed="false">
      <c r="A173" s="83" t="n">
        <v>1</v>
      </c>
      <c r="B173" s="56" t="s">
        <v>722</v>
      </c>
      <c r="C173" s="83" t="s">
        <v>934</v>
      </c>
      <c r="D173" s="56" t="s">
        <v>636</v>
      </c>
      <c r="E173" s="61" t="s">
        <v>973</v>
      </c>
      <c r="F173" s="61" t="s">
        <v>704</v>
      </c>
      <c r="G173" s="83" t="s">
        <v>943</v>
      </c>
    </row>
    <row r="174" customFormat="false" ht="48" hidden="false" customHeight="true" outlineLevel="0" collapsed="false">
      <c r="A174" s="83" t="n">
        <v>2</v>
      </c>
      <c r="B174" s="61" t="s">
        <v>723</v>
      </c>
      <c r="C174" s="83" t="s">
        <v>934</v>
      </c>
      <c r="D174" s="56" t="s">
        <v>720</v>
      </c>
      <c r="E174" s="61" t="s">
        <v>987</v>
      </c>
      <c r="F174" s="56" t="s">
        <v>726</v>
      </c>
      <c r="G174" s="83" t="s">
        <v>943</v>
      </c>
    </row>
    <row r="175" customFormat="false" ht="109.5" hidden="false" customHeight="true" outlineLevel="0" collapsed="false">
      <c r="A175" s="84" t="s">
        <v>904</v>
      </c>
      <c r="B175" s="84"/>
      <c r="C175" s="85" t="s">
        <v>988</v>
      </c>
      <c r="D175" s="85"/>
      <c r="E175" s="85"/>
      <c r="F175" s="85"/>
      <c r="G175" s="85"/>
    </row>
    <row r="176" customFormat="false" ht="19.5" hidden="false" customHeight="true" outlineLevel="0" collapsed="false">
      <c r="A176" s="86" t="s">
        <v>906</v>
      </c>
      <c r="B176" s="86"/>
      <c r="C176" s="86" t="s">
        <v>907</v>
      </c>
      <c r="D176" s="86"/>
      <c r="E176" s="86"/>
      <c r="F176" s="86"/>
      <c r="G176" s="86" t="s">
        <v>908</v>
      </c>
    </row>
    <row r="178" customFormat="false" ht="24" hidden="false" customHeight="true" outlineLevel="0" collapsed="false">
      <c r="A178" s="80" t="s">
        <v>989</v>
      </c>
      <c r="B178" s="80"/>
      <c r="C178" s="80"/>
      <c r="D178" s="80"/>
      <c r="E178" s="80"/>
      <c r="F178" s="80"/>
      <c r="G178" s="80"/>
    </row>
    <row r="179" customFormat="false" ht="18" hidden="false" customHeight="true" outlineLevel="0" collapsed="false">
      <c r="A179" s="81" t="s">
        <v>990</v>
      </c>
      <c r="B179" s="81"/>
      <c r="C179" s="81"/>
      <c r="D179" s="81"/>
      <c r="E179" s="81"/>
      <c r="F179" s="81"/>
      <c r="G179" s="81"/>
    </row>
    <row r="180" customFormat="false" ht="15" hidden="false" customHeight="false" outlineLevel="0" collapsed="false">
      <c r="A180" s="82" t="s">
        <v>894</v>
      </c>
      <c r="B180" s="82" t="s">
        <v>142</v>
      </c>
      <c r="C180" s="82" t="s">
        <v>895</v>
      </c>
      <c r="D180" s="82" t="s">
        <v>523</v>
      </c>
      <c r="E180" s="82" t="s">
        <v>896</v>
      </c>
      <c r="F180" s="82" t="s">
        <v>897</v>
      </c>
      <c r="G180" s="82" t="s">
        <v>95</v>
      </c>
    </row>
    <row r="181" customFormat="false" ht="48" hidden="false" customHeight="true" outlineLevel="0" collapsed="false">
      <c r="A181" s="83" t="n">
        <v>1</v>
      </c>
      <c r="B181" s="56" t="s">
        <v>728</v>
      </c>
      <c r="C181" s="83" t="s">
        <v>934</v>
      </c>
      <c r="D181" s="56" t="s">
        <v>672</v>
      </c>
      <c r="E181" s="61" t="s">
        <v>973</v>
      </c>
      <c r="F181" s="61" t="s">
        <v>704</v>
      </c>
      <c r="G181" s="83" t="s">
        <v>943</v>
      </c>
    </row>
    <row r="182" customFormat="false" ht="48" hidden="false" customHeight="true" outlineLevel="0" collapsed="false">
      <c r="A182" s="83" t="n">
        <v>2</v>
      </c>
      <c r="B182" s="56" t="s">
        <v>729</v>
      </c>
      <c r="C182" s="83" t="s">
        <v>934</v>
      </c>
      <c r="D182" s="56" t="s">
        <v>720</v>
      </c>
      <c r="E182" s="61" t="s">
        <v>973</v>
      </c>
      <c r="F182" s="61" t="s">
        <v>704</v>
      </c>
      <c r="G182" s="83" t="s">
        <v>943</v>
      </c>
    </row>
    <row r="183" customFormat="false" ht="48" hidden="false" customHeight="true" outlineLevel="0" collapsed="false">
      <c r="A183" s="83" t="n">
        <v>3</v>
      </c>
      <c r="B183" s="61" t="s">
        <v>730</v>
      </c>
      <c r="C183" s="83" t="s">
        <v>934</v>
      </c>
      <c r="D183" s="56" t="s">
        <v>731</v>
      </c>
      <c r="E183" s="56" t="s">
        <v>991</v>
      </c>
      <c r="F183" s="61" t="s">
        <v>734</v>
      </c>
      <c r="G183" s="83" t="s">
        <v>943</v>
      </c>
    </row>
    <row r="184" customFormat="false" ht="48" hidden="false" customHeight="true" outlineLevel="0" collapsed="false">
      <c r="A184" s="83" t="n">
        <v>4</v>
      </c>
      <c r="B184" s="61" t="s">
        <v>735</v>
      </c>
      <c r="C184" s="83" t="s">
        <v>934</v>
      </c>
      <c r="D184" s="56" t="s">
        <v>736</v>
      </c>
      <c r="E184" s="61" t="s">
        <v>973</v>
      </c>
      <c r="F184" s="61" t="s">
        <v>704</v>
      </c>
      <c r="G184" s="83" t="s">
        <v>943</v>
      </c>
    </row>
    <row r="185" customFormat="false" ht="109.5" hidden="false" customHeight="true" outlineLevel="0" collapsed="false">
      <c r="A185" s="84" t="s">
        <v>904</v>
      </c>
      <c r="B185" s="84"/>
      <c r="C185" s="85" t="s">
        <v>992</v>
      </c>
      <c r="D185" s="85"/>
      <c r="E185" s="85"/>
      <c r="F185" s="85"/>
      <c r="G185" s="85"/>
    </row>
    <row r="186" customFormat="false" ht="19.5" hidden="false" customHeight="true" outlineLevel="0" collapsed="false">
      <c r="A186" s="86" t="s">
        <v>906</v>
      </c>
      <c r="B186" s="86"/>
      <c r="C186" s="86" t="s">
        <v>907</v>
      </c>
      <c r="D186" s="86"/>
      <c r="E186" s="86"/>
      <c r="F186" s="86"/>
      <c r="G186" s="86" t="s">
        <v>908</v>
      </c>
    </row>
    <row r="188" customFormat="false" ht="24" hidden="false" customHeight="true" outlineLevel="0" collapsed="false">
      <c r="A188" s="80" t="s">
        <v>993</v>
      </c>
      <c r="B188" s="80"/>
      <c r="C188" s="80"/>
      <c r="D188" s="80"/>
      <c r="E188" s="80"/>
      <c r="F188" s="80"/>
      <c r="G188" s="80"/>
    </row>
    <row r="189" customFormat="false" ht="18" hidden="false" customHeight="true" outlineLevel="0" collapsed="false">
      <c r="A189" s="81" t="s">
        <v>994</v>
      </c>
      <c r="B189" s="81"/>
      <c r="C189" s="81"/>
      <c r="D189" s="81"/>
      <c r="E189" s="81"/>
      <c r="F189" s="81"/>
      <c r="G189" s="81"/>
    </row>
    <row r="190" customFormat="false" ht="15" hidden="false" customHeight="false" outlineLevel="0" collapsed="false">
      <c r="A190" s="82" t="s">
        <v>894</v>
      </c>
      <c r="B190" s="82" t="s">
        <v>142</v>
      </c>
      <c r="C190" s="82" t="s">
        <v>895</v>
      </c>
      <c r="D190" s="82" t="s">
        <v>523</v>
      </c>
      <c r="E190" s="82" t="s">
        <v>896</v>
      </c>
      <c r="F190" s="82" t="s">
        <v>897</v>
      </c>
      <c r="G190" s="82" t="s">
        <v>95</v>
      </c>
    </row>
    <row r="191" customFormat="false" ht="48" hidden="false" customHeight="true" outlineLevel="0" collapsed="false">
      <c r="A191" s="83" t="n">
        <v>1</v>
      </c>
      <c r="B191" s="61" t="s">
        <v>738</v>
      </c>
      <c r="C191" s="83" t="s">
        <v>901</v>
      </c>
      <c r="D191" s="56" t="s">
        <v>720</v>
      </c>
      <c r="E191" s="61" t="s">
        <v>995</v>
      </c>
      <c r="F191" s="61" t="s">
        <v>741</v>
      </c>
      <c r="G191" s="83" t="s">
        <v>943</v>
      </c>
    </row>
    <row r="192" customFormat="false" ht="48" hidden="false" customHeight="true" outlineLevel="0" collapsed="false">
      <c r="A192" s="83" t="n">
        <v>2</v>
      </c>
      <c r="B192" s="61" t="s">
        <v>742</v>
      </c>
      <c r="C192" s="83" t="s">
        <v>934</v>
      </c>
      <c r="D192" s="56" t="s">
        <v>743</v>
      </c>
      <c r="E192" s="61" t="s">
        <v>973</v>
      </c>
      <c r="F192" s="61" t="s">
        <v>704</v>
      </c>
      <c r="G192" s="83" t="s">
        <v>943</v>
      </c>
    </row>
    <row r="193" customFormat="false" ht="109.5" hidden="false" customHeight="true" outlineLevel="0" collapsed="false">
      <c r="A193" s="84" t="s">
        <v>904</v>
      </c>
      <c r="B193" s="84"/>
      <c r="C193" s="85" t="s">
        <v>996</v>
      </c>
      <c r="D193" s="85"/>
      <c r="E193" s="85"/>
      <c r="F193" s="85"/>
      <c r="G193" s="85"/>
    </row>
    <row r="194" customFormat="false" ht="19.5" hidden="false" customHeight="true" outlineLevel="0" collapsed="false">
      <c r="A194" s="86" t="s">
        <v>906</v>
      </c>
      <c r="B194" s="86"/>
      <c r="C194" s="86" t="s">
        <v>907</v>
      </c>
      <c r="D194" s="86"/>
      <c r="E194" s="86"/>
      <c r="F194" s="86"/>
      <c r="G194" s="86" t="s">
        <v>908</v>
      </c>
    </row>
    <row r="196" customFormat="false" ht="24" hidden="false" customHeight="true" outlineLevel="0" collapsed="false">
      <c r="A196" s="80" t="s">
        <v>997</v>
      </c>
      <c r="B196" s="80"/>
      <c r="C196" s="80"/>
      <c r="D196" s="80"/>
      <c r="E196" s="80"/>
      <c r="F196" s="80"/>
      <c r="G196" s="80"/>
    </row>
    <row r="197" customFormat="false" ht="18" hidden="false" customHeight="true" outlineLevel="0" collapsed="false">
      <c r="A197" s="81" t="s">
        <v>998</v>
      </c>
      <c r="B197" s="81"/>
      <c r="C197" s="81"/>
      <c r="D197" s="81"/>
      <c r="E197" s="81"/>
      <c r="F197" s="81"/>
      <c r="G197" s="81"/>
    </row>
    <row r="198" customFormat="false" ht="15" hidden="false" customHeight="false" outlineLevel="0" collapsed="false">
      <c r="A198" s="82" t="s">
        <v>894</v>
      </c>
      <c r="B198" s="82" t="s">
        <v>142</v>
      </c>
      <c r="C198" s="82" t="s">
        <v>895</v>
      </c>
      <c r="D198" s="82" t="s">
        <v>523</v>
      </c>
      <c r="E198" s="82" t="s">
        <v>896</v>
      </c>
      <c r="F198" s="82" t="s">
        <v>897</v>
      </c>
      <c r="G198" s="82" t="s">
        <v>95</v>
      </c>
    </row>
    <row r="199" customFormat="false" ht="48" hidden="false" customHeight="true" outlineLevel="0" collapsed="false">
      <c r="A199" s="83" t="n">
        <v>1</v>
      </c>
      <c r="B199" s="56" t="s">
        <v>745</v>
      </c>
      <c r="C199" s="83" t="s">
        <v>934</v>
      </c>
      <c r="D199" s="56" t="s">
        <v>636</v>
      </c>
      <c r="E199" s="61" t="s">
        <v>973</v>
      </c>
      <c r="F199" s="61" t="s">
        <v>704</v>
      </c>
      <c r="G199" s="83" t="s">
        <v>943</v>
      </c>
    </row>
    <row r="200" customFormat="false" ht="48" hidden="false" customHeight="true" outlineLevel="0" collapsed="false">
      <c r="A200" s="83" t="n">
        <v>2</v>
      </c>
      <c r="B200" s="56" t="s">
        <v>748</v>
      </c>
      <c r="C200" s="83" t="s">
        <v>934</v>
      </c>
      <c r="D200" s="56" t="s">
        <v>749</v>
      </c>
      <c r="E200" s="61" t="s">
        <v>999</v>
      </c>
      <c r="F200" s="61" t="s">
        <v>752</v>
      </c>
      <c r="G200" s="83" t="s">
        <v>943</v>
      </c>
    </row>
    <row r="201" customFormat="false" ht="109.5" hidden="false" customHeight="true" outlineLevel="0" collapsed="false">
      <c r="A201" s="84" t="s">
        <v>904</v>
      </c>
      <c r="B201" s="84"/>
      <c r="C201" s="85" t="s">
        <v>1000</v>
      </c>
      <c r="D201" s="85"/>
      <c r="E201" s="85"/>
      <c r="F201" s="85"/>
      <c r="G201" s="85"/>
    </row>
    <row r="202" customFormat="false" ht="19.5" hidden="false" customHeight="true" outlineLevel="0" collapsed="false">
      <c r="A202" s="87" t="s">
        <v>906</v>
      </c>
      <c r="B202" s="87"/>
      <c r="C202" s="87" t="s">
        <v>930</v>
      </c>
      <c r="D202" s="87"/>
      <c r="E202" s="87"/>
      <c r="F202" s="87"/>
      <c r="G202" s="87" t="s">
        <v>931</v>
      </c>
    </row>
    <row r="204" customFormat="false" ht="24" hidden="false" customHeight="true" outlineLevel="0" collapsed="false">
      <c r="A204" s="80" t="s">
        <v>1001</v>
      </c>
      <c r="B204" s="80"/>
      <c r="C204" s="80"/>
      <c r="D204" s="80"/>
      <c r="E204" s="80"/>
      <c r="F204" s="80"/>
      <c r="G204" s="80"/>
    </row>
    <row r="205" customFormat="false" ht="18" hidden="false" customHeight="true" outlineLevel="0" collapsed="false">
      <c r="A205" s="81" t="s">
        <v>1002</v>
      </c>
      <c r="B205" s="81"/>
      <c r="C205" s="81"/>
      <c r="D205" s="81"/>
      <c r="E205" s="81"/>
      <c r="F205" s="81"/>
      <c r="G205" s="81"/>
    </row>
    <row r="206" customFormat="false" ht="15" hidden="false" customHeight="false" outlineLevel="0" collapsed="false">
      <c r="A206" s="82" t="s">
        <v>894</v>
      </c>
      <c r="B206" s="82" t="s">
        <v>142</v>
      </c>
      <c r="C206" s="82" t="s">
        <v>895</v>
      </c>
      <c r="D206" s="82" t="s">
        <v>523</v>
      </c>
      <c r="E206" s="82" t="s">
        <v>896</v>
      </c>
      <c r="F206" s="82" t="s">
        <v>897</v>
      </c>
      <c r="G206" s="82" t="s">
        <v>95</v>
      </c>
    </row>
    <row r="207" customFormat="false" ht="48" hidden="false" customHeight="true" outlineLevel="0" collapsed="false">
      <c r="A207" s="83" t="n">
        <v>1</v>
      </c>
      <c r="B207" s="61" t="s">
        <v>754</v>
      </c>
      <c r="C207" s="83" t="s">
        <v>934</v>
      </c>
      <c r="D207" s="56" t="s">
        <v>755</v>
      </c>
      <c r="E207" s="56" t="s">
        <v>1003</v>
      </c>
      <c r="F207" s="61" t="s">
        <v>758</v>
      </c>
      <c r="G207" s="83" t="s">
        <v>943</v>
      </c>
    </row>
    <row r="208" customFormat="false" ht="48" hidden="false" customHeight="true" outlineLevel="0" collapsed="false">
      <c r="A208" s="83" t="n">
        <v>2</v>
      </c>
      <c r="B208" s="61" t="s">
        <v>759</v>
      </c>
      <c r="C208" s="83" t="s">
        <v>934</v>
      </c>
      <c r="D208" s="56" t="s">
        <v>755</v>
      </c>
      <c r="E208" s="56" t="s">
        <v>1004</v>
      </c>
      <c r="F208" s="61" t="s">
        <v>762</v>
      </c>
      <c r="G208" s="83" t="s">
        <v>943</v>
      </c>
    </row>
    <row r="209" customFormat="false" ht="109.5" hidden="false" customHeight="true" outlineLevel="0" collapsed="false">
      <c r="A209" s="84" t="s">
        <v>904</v>
      </c>
      <c r="B209" s="84"/>
      <c r="C209" s="85" t="s">
        <v>1005</v>
      </c>
      <c r="D209" s="85"/>
      <c r="E209" s="85"/>
      <c r="F209" s="85"/>
      <c r="G209" s="85"/>
    </row>
    <row r="210" customFormat="false" ht="19.5" hidden="false" customHeight="true" outlineLevel="0" collapsed="false">
      <c r="A210" s="86" t="s">
        <v>906</v>
      </c>
      <c r="B210" s="86"/>
      <c r="C210" s="86" t="s">
        <v>907</v>
      </c>
      <c r="D210" s="86"/>
      <c r="E210" s="86"/>
      <c r="F210" s="86"/>
      <c r="G210" s="86" t="s">
        <v>908</v>
      </c>
    </row>
    <row r="212" customFormat="false" ht="24" hidden="false" customHeight="true" outlineLevel="0" collapsed="false">
      <c r="A212" s="80" t="s">
        <v>1006</v>
      </c>
      <c r="B212" s="80"/>
      <c r="C212" s="80"/>
      <c r="D212" s="80"/>
      <c r="E212" s="80"/>
      <c r="F212" s="80"/>
      <c r="G212" s="80"/>
    </row>
    <row r="213" customFormat="false" ht="18" hidden="false" customHeight="true" outlineLevel="0" collapsed="false">
      <c r="A213" s="81" t="s">
        <v>1007</v>
      </c>
      <c r="B213" s="81"/>
      <c r="C213" s="81"/>
      <c r="D213" s="81"/>
      <c r="E213" s="81"/>
      <c r="F213" s="81"/>
      <c r="G213" s="81"/>
    </row>
    <row r="214" customFormat="false" ht="15" hidden="false" customHeight="false" outlineLevel="0" collapsed="false">
      <c r="A214" s="82" t="s">
        <v>894</v>
      </c>
      <c r="B214" s="82" t="s">
        <v>142</v>
      </c>
      <c r="C214" s="82" t="s">
        <v>895</v>
      </c>
      <c r="D214" s="82" t="s">
        <v>523</v>
      </c>
      <c r="E214" s="82" t="s">
        <v>896</v>
      </c>
      <c r="F214" s="82" t="s">
        <v>897</v>
      </c>
      <c r="G214" s="82" t="s">
        <v>95</v>
      </c>
    </row>
    <row r="215" customFormat="false" ht="48" hidden="false" customHeight="true" outlineLevel="0" collapsed="false">
      <c r="A215" s="83" t="n">
        <v>1</v>
      </c>
      <c r="B215" s="56" t="s">
        <v>764</v>
      </c>
      <c r="C215" s="83" t="s">
        <v>934</v>
      </c>
      <c r="D215" s="56" t="s">
        <v>662</v>
      </c>
      <c r="E215" s="56" t="s">
        <v>1003</v>
      </c>
      <c r="F215" s="61" t="s">
        <v>758</v>
      </c>
      <c r="G215" s="83" t="s">
        <v>943</v>
      </c>
    </row>
    <row r="216" customFormat="false" ht="109.5" hidden="false" customHeight="true" outlineLevel="0" collapsed="false">
      <c r="A216" s="84" t="s">
        <v>904</v>
      </c>
      <c r="B216" s="84"/>
      <c r="C216" s="85" t="s">
        <v>1008</v>
      </c>
      <c r="D216" s="85"/>
      <c r="E216" s="85"/>
      <c r="F216" s="85"/>
      <c r="G216" s="85"/>
    </row>
    <row r="217" customFormat="false" ht="19.5" hidden="false" customHeight="true" outlineLevel="0" collapsed="false">
      <c r="A217" s="86" t="s">
        <v>906</v>
      </c>
      <c r="B217" s="86"/>
      <c r="C217" s="86" t="s">
        <v>907</v>
      </c>
      <c r="D217" s="86"/>
      <c r="E217" s="86"/>
      <c r="F217" s="86"/>
      <c r="G217" s="86" t="s">
        <v>908</v>
      </c>
    </row>
    <row r="219" customFormat="false" ht="24" hidden="false" customHeight="true" outlineLevel="0" collapsed="false">
      <c r="A219" s="80" t="s">
        <v>1009</v>
      </c>
      <c r="B219" s="80"/>
      <c r="C219" s="80"/>
      <c r="D219" s="80"/>
      <c r="E219" s="80"/>
      <c r="F219" s="80"/>
      <c r="G219" s="80"/>
    </row>
    <row r="220" customFormat="false" ht="18" hidden="false" customHeight="true" outlineLevel="0" collapsed="false">
      <c r="A220" s="81" t="s">
        <v>1010</v>
      </c>
      <c r="B220" s="81"/>
      <c r="C220" s="81"/>
      <c r="D220" s="81"/>
      <c r="E220" s="81"/>
      <c r="F220" s="81"/>
      <c r="G220" s="81"/>
    </row>
    <row r="221" customFormat="false" ht="15" hidden="false" customHeight="false" outlineLevel="0" collapsed="false">
      <c r="A221" s="82" t="s">
        <v>894</v>
      </c>
      <c r="B221" s="82" t="s">
        <v>142</v>
      </c>
      <c r="C221" s="82" t="s">
        <v>895</v>
      </c>
      <c r="D221" s="82" t="s">
        <v>523</v>
      </c>
      <c r="E221" s="82" t="s">
        <v>896</v>
      </c>
      <c r="F221" s="82" t="s">
        <v>897</v>
      </c>
      <c r="G221" s="82" t="s">
        <v>95</v>
      </c>
    </row>
    <row r="222" customFormat="false" ht="48" hidden="false" customHeight="true" outlineLevel="0" collapsed="false">
      <c r="A222" s="83" t="n">
        <v>1</v>
      </c>
      <c r="B222" s="56" t="s">
        <v>766</v>
      </c>
      <c r="C222" s="83" t="s">
        <v>934</v>
      </c>
      <c r="D222" s="56" t="s">
        <v>636</v>
      </c>
      <c r="E222" s="56" t="s">
        <v>939</v>
      </c>
      <c r="F222" s="61" t="s">
        <v>649</v>
      </c>
      <c r="G222" s="83" t="s">
        <v>943</v>
      </c>
    </row>
    <row r="223" customFormat="false" ht="48" hidden="false" customHeight="true" outlineLevel="0" collapsed="false">
      <c r="A223" s="83" t="n">
        <v>2</v>
      </c>
      <c r="B223" s="56" t="s">
        <v>767</v>
      </c>
      <c r="C223" s="83" t="s">
        <v>934</v>
      </c>
      <c r="D223" s="56" t="s">
        <v>768</v>
      </c>
      <c r="E223" s="56" t="s">
        <v>939</v>
      </c>
      <c r="F223" s="61" t="s">
        <v>649</v>
      </c>
      <c r="G223" s="83" t="s">
        <v>943</v>
      </c>
    </row>
    <row r="224" customFormat="false" ht="48" hidden="false" customHeight="true" outlineLevel="0" collapsed="false">
      <c r="A224" s="83" t="n">
        <v>3</v>
      </c>
      <c r="B224" s="61" t="s">
        <v>769</v>
      </c>
      <c r="C224" s="83" t="s">
        <v>934</v>
      </c>
      <c r="D224" s="56" t="s">
        <v>636</v>
      </c>
      <c r="E224" s="61" t="s">
        <v>999</v>
      </c>
      <c r="F224" s="61" t="s">
        <v>752</v>
      </c>
      <c r="G224" s="83" t="s">
        <v>943</v>
      </c>
    </row>
    <row r="225" customFormat="false" ht="48" hidden="false" customHeight="true" outlineLevel="0" collapsed="false">
      <c r="A225" s="83" t="n">
        <v>4</v>
      </c>
      <c r="B225" s="61" t="s">
        <v>771</v>
      </c>
      <c r="C225" s="83" t="s">
        <v>901</v>
      </c>
      <c r="D225" s="56" t="s">
        <v>711</v>
      </c>
      <c r="E225" s="56" t="s">
        <v>980</v>
      </c>
      <c r="F225" s="61" t="s">
        <v>714</v>
      </c>
      <c r="G225" s="83" t="s">
        <v>943</v>
      </c>
    </row>
    <row r="226" customFormat="false" ht="109.5" hidden="false" customHeight="true" outlineLevel="0" collapsed="false">
      <c r="A226" s="84" t="s">
        <v>904</v>
      </c>
      <c r="B226" s="84"/>
      <c r="C226" s="85" t="s">
        <v>1011</v>
      </c>
      <c r="D226" s="85"/>
      <c r="E226" s="85"/>
      <c r="F226" s="85"/>
      <c r="G226" s="85"/>
    </row>
    <row r="227" customFormat="false" ht="19.5" hidden="false" customHeight="true" outlineLevel="0" collapsed="false">
      <c r="A227" s="86" t="s">
        <v>906</v>
      </c>
      <c r="B227" s="86"/>
      <c r="C227" s="86" t="s">
        <v>907</v>
      </c>
      <c r="D227" s="86"/>
      <c r="E227" s="86"/>
      <c r="F227" s="86"/>
      <c r="G227" s="86" t="s">
        <v>908</v>
      </c>
    </row>
    <row r="229" customFormat="false" ht="24" hidden="false" customHeight="true" outlineLevel="0" collapsed="false">
      <c r="A229" s="80" t="s">
        <v>1012</v>
      </c>
      <c r="B229" s="80"/>
      <c r="C229" s="80"/>
      <c r="D229" s="80"/>
      <c r="E229" s="80"/>
      <c r="F229" s="80"/>
      <c r="G229" s="80"/>
    </row>
    <row r="230" customFormat="false" ht="18" hidden="false" customHeight="true" outlineLevel="0" collapsed="false">
      <c r="A230" s="81" t="s">
        <v>1013</v>
      </c>
      <c r="B230" s="81"/>
      <c r="C230" s="81"/>
      <c r="D230" s="81"/>
      <c r="E230" s="81"/>
      <c r="F230" s="81"/>
      <c r="G230" s="81"/>
    </row>
    <row r="231" customFormat="false" ht="15" hidden="false" customHeight="false" outlineLevel="0" collapsed="false">
      <c r="A231" s="82" t="s">
        <v>894</v>
      </c>
      <c r="B231" s="82" t="s">
        <v>142</v>
      </c>
      <c r="C231" s="82" t="s">
        <v>895</v>
      </c>
      <c r="D231" s="82" t="s">
        <v>523</v>
      </c>
      <c r="E231" s="82" t="s">
        <v>896</v>
      </c>
      <c r="F231" s="82" t="s">
        <v>897</v>
      </c>
      <c r="G231" s="82" t="s">
        <v>95</v>
      </c>
    </row>
    <row r="232" customFormat="false" ht="48" hidden="false" customHeight="true" outlineLevel="0" collapsed="false">
      <c r="A232" s="83" t="n">
        <v>1</v>
      </c>
      <c r="B232" s="61" t="s">
        <v>773</v>
      </c>
      <c r="C232" s="83" t="s">
        <v>901</v>
      </c>
      <c r="D232" s="56" t="s">
        <v>774</v>
      </c>
      <c r="E232" s="56" t="s">
        <v>1014</v>
      </c>
      <c r="F232" s="56" t="s">
        <v>777</v>
      </c>
      <c r="G232" s="83" t="s">
        <v>943</v>
      </c>
    </row>
    <row r="233" customFormat="false" ht="48" hidden="false" customHeight="true" outlineLevel="0" collapsed="false">
      <c r="A233" s="83" t="n">
        <v>2</v>
      </c>
      <c r="B233" s="61" t="s">
        <v>314</v>
      </c>
      <c r="C233" s="83" t="s">
        <v>934</v>
      </c>
      <c r="D233" s="56" t="s">
        <v>778</v>
      </c>
      <c r="E233" s="61" t="s">
        <v>999</v>
      </c>
      <c r="F233" s="61" t="s">
        <v>752</v>
      </c>
      <c r="G233" s="83" t="s">
        <v>943</v>
      </c>
    </row>
    <row r="234" customFormat="false" ht="48" hidden="false" customHeight="true" outlineLevel="0" collapsed="false">
      <c r="A234" s="83" t="n">
        <v>3</v>
      </c>
      <c r="B234" s="61" t="s">
        <v>779</v>
      </c>
      <c r="C234" s="83" t="s">
        <v>901</v>
      </c>
      <c r="D234" s="56" t="s">
        <v>780</v>
      </c>
      <c r="E234" s="61" t="s">
        <v>925</v>
      </c>
      <c r="F234" s="61" t="s">
        <v>618</v>
      </c>
      <c r="G234" s="83" t="s">
        <v>943</v>
      </c>
    </row>
    <row r="235" customFormat="false" ht="48" hidden="false" customHeight="true" outlineLevel="0" collapsed="false">
      <c r="A235" s="83" t="n">
        <v>4</v>
      </c>
      <c r="B235" s="61" t="s">
        <v>325</v>
      </c>
      <c r="C235" s="83" t="s">
        <v>934</v>
      </c>
      <c r="D235" s="56" t="s">
        <v>636</v>
      </c>
      <c r="E235" s="61" t="s">
        <v>1015</v>
      </c>
      <c r="F235" s="61" t="s">
        <v>783</v>
      </c>
      <c r="G235" s="83" t="s">
        <v>943</v>
      </c>
    </row>
    <row r="236" customFormat="false" ht="109.5" hidden="false" customHeight="true" outlineLevel="0" collapsed="false">
      <c r="A236" s="84" t="s">
        <v>904</v>
      </c>
      <c r="B236" s="84"/>
      <c r="C236" s="85" t="s">
        <v>1016</v>
      </c>
      <c r="D236" s="85"/>
      <c r="E236" s="85"/>
      <c r="F236" s="85"/>
      <c r="G236" s="85"/>
    </row>
    <row r="237" customFormat="false" ht="19.5" hidden="false" customHeight="true" outlineLevel="0" collapsed="false">
      <c r="A237" s="86" t="s">
        <v>906</v>
      </c>
      <c r="B237" s="86"/>
      <c r="C237" s="86" t="s">
        <v>907</v>
      </c>
      <c r="D237" s="86"/>
      <c r="E237" s="86"/>
      <c r="F237" s="86"/>
      <c r="G237" s="86" t="s">
        <v>908</v>
      </c>
    </row>
    <row r="239" customFormat="false" ht="24" hidden="false" customHeight="true" outlineLevel="0" collapsed="false">
      <c r="A239" s="80" t="s">
        <v>1017</v>
      </c>
      <c r="B239" s="80"/>
      <c r="C239" s="80"/>
      <c r="D239" s="80"/>
      <c r="E239" s="80"/>
      <c r="F239" s="80"/>
      <c r="G239" s="80"/>
    </row>
    <row r="240" customFormat="false" ht="18" hidden="false" customHeight="true" outlineLevel="0" collapsed="false">
      <c r="A240" s="81" t="s">
        <v>1018</v>
      </c>
      <c r="B240" s="81"/>
      <c r="C240" s="81"/>
      <c r="D240" s="81"/>
      <c r="E240" s="81"/>
      <c r="F240" s="81"/>
      <c r="G240" s="81"/>
    </row>
    <row r="241" customFormat="false" ht="15" hidden="false" customHeight="false" outlineLevel="0" collapsed="false">
      <c r="A241" s="82" t="s">
        <v>894</v>
      </c>
      <c r="B241" s="82" t="s">
        <v>142</v>
      </c>
      <c r="C241" s="82" t="s">
        <v>895</v>
      </c>
      <c r="D241" s="82" t="s">
        <v>523</v>
      </c>
      <c r="E241" s="82" t="s">
        <v>896</v>
      </c>
      <c r="F241" s="82" t="s">
        <v>897</v>
      </c>
      <c r="G241" s="82" t="s">
        <v>95</v>
      </c>
    </row>
    <row r="242" customFormat="false" ht="48" hidden="false" customHeight="true" outlineLevel="0" collapsed="false">
      <c r="A242" s="83" t="n">
        <v>1</v>
      </c>
      <c r="B242" s="61" t="s">
        <v>785</v>
      </c>
      <c r="C242" s="83" t="s">
        <v>934</v>
      </c>
      <c r="D242" s="56" t="s">
        <v>786</v>
      </c>
      <c r="E242" s="61" t="s">
        <v>999</v>
      </c>
      <c r="F242" s="61" t="s">
        <v>752</v>
      </c>
      <c r="G242" s="83" t="s">
        <v>943</v>
      </c>
    </row>
    <row r="243" customFormat="false" ht="48" hidden="false" customHeight="true" outlineLevel="0" collapsed="false">
      <c r="A243" s="83" t="n">
        <v>2</v>
      </c>
      <c r="B243" s="61" t="s">
        <v>787</v>
      </c>
      <c r="C243" s="83" t="s">
        <v>934</v>
      </c>
      <c r="D243" s="56" t="s">
        <v>749</v>
      </c>
      <c r="E243" s="61" t="s">
        <v>999</v>
      </c>
      <c r="F243" s="61" t="s">
        <v>752</v>
      </c>
      <c r="G243" s="83" t="s">
        <v>943</v>
      </c>
    </row>
    <row r="244" customFormat="false" ht="48" hidden="false" customHeight="true" outlineLevel="0" collapsed="false">
      <c r="A244" s="83" t="n">
        <v>3</v>
      </c>
      <c r="B244" s="61" t="s">
        <v>788</v>
      </c>
      <c r="C244" s="83" t="s">
        <v>901</v>
      </c>
      <c r="D244" s="56" t="s">
        <v>749</v>
      </c>
      <c r="E244" s="61" t="s">
        <v>999</v>
      </c>
      <c r="F244" s="61" t="s">
        <v>752</v>
      </c>
      <c r="G244" s="83" t="s">
        <v>943</v>
      </c>
    </row>
    <row r="245" customFormat="false" ht="48" hidden="false" customHeight="true" outlineLevel="0" collapsed="false">
      <c r="A245" s="83" t="n">
        <v>4</v>
      </c>
      <c r="B245" s="56" t="s">
        <v>789</v>
      </c>
      <c r="C245" s="83" t="s">
        <v>898</v>
      </c>
      <c r="D245" s="56" t="s">
        <v>615</v>
      </c>
      <c r="E245" s="61" t="s">
        <v>999</v>
      </c>
      <c r="F245" s="61" t="s">
        <v>752</v>
      </c>
      <c r="G245" s="83" t="s">
        <v>943</v>
      </c>
    </row>
    <row r="246" customFormat="false" ht="109.5" hidden="false" customHeight="true" outlineLevel="0" collapsed="false">
      <c r="A246" s="84" t="s">
        <v>904</v>
      </c>
      <c r="B246" s="84"/>
      <c r="C246" s="85" t="s">
        <v>1019</v>
      </c>
      <c r="D246" s="85"/>
      <c r="E246" s="85"/>
      <c r="F246" s="85"/>
      <c r="G246" s="85"/>
    </row>
    <row r="247" customFormat="false" ht="19.5" hidden="false" customHeight="true" outlineLevel="0" collapsed="false">
      <c r="A247" s="87" t="s">
        <v>906</v>
      </c>
      <c r="B247" s="87"/>
      <c r="C247" s="87" t="s">
        <v>930</v>
      </c>
      <c r="D247" s="87"/>
      <c r="E247" s="87"/>
      <c r="F247" s="87"/>
      <c r="G247" s="87" t="s">
        <v>931</v>
      </c>
    </row>
    <row r="249" customFormat="false" ht="24" hidden="false" customHeight="true" outlineLevel="0" collapsed="false">
      <c r="A249" s="80" t="s">
        <v>1020</v>
      </c>
      <c r="B249" s="80"/>
      <c r="C249" s="80"/>
      <c r="D249" s="80"/>
      <c r="E249" s="80"/>
      <c r="F249" s="80"/>
      <c r="G249" s="80"/>
    </row>
    <row r="250" customFormat="false" ht="18" hidden="false" customHeight="true" outlineLevel="0" collapsed="false">
      <c r="A250" s="81" t="s">
        <v>1021</v>
      </c>
      <c r="B250" s="81"/>
      <c r="C250" s="81"/>
      <c r="D250" s="81"/>
      <c r="E250" s="81"/>
      <c r="F250" s="81"/>
      <c r="G250" s="81"/>
    </row>
    <row r="251" customFormat="false" ht="15" hidden="false" customHeight="false" outlineLevel="0" collapsed="false">
      <c r="A251" s="82" t="s">
        <v>894</v>
      </c>
      <c r="B251" s="82" t="s">
        <v>142</v>
      </c>
      <c r="C251" s="82" t="s">
        <v>895</v>
      </c>
      <c r="D251" s="82" t="s">
        <v>523</v>
      </c>
      <c r="E251" s="82" t="s">
        <v>896</v>
      </c>
      <c r="F251" s="82" t="s">
        <v>897</v>
      </c>
      <c r="G251" s="82" t="s">
        <v>95</v>
      </c>
    </row>
    <row r="252" customFormat="false" ht="48" hidden="false" customHeight="true" outlineLevel="0" collapsed="false">
      <c r="A252" s="83" t="n">
        <v>1</v>
      </c>
      <c r="B252" s="56" t="s">
        <v>791</v>
      </c>
      <c r="C252" s="83" t="s">
        <v>934</v>
      </c>
      <c r="D252" s="56" t="s">
        <v>792</v>
      </c>
      <c r="E252" s="56" t="s">
        <v>1022</v>
      </c>
      <c r="F252" s="61" t="s">
        <v>795</v>
      </c>
      <c r="G252" s="83" t="s">
        <v>943</v>
      </c>
    </row>
    <row r="253" customFormat="false" ht="48" hidden="false" customHeight="true" outlineLevel="0" collapsed="false">
      <c r="A253" s="83" t="n">
        <v>2</v>
      </c>
      <c r="B253" s="61" t="s">
        <v>796</v>
      </c>
      <c r="C253" s="83" t="s">
        <v>901</v>
      </c>
      <c r="D253" s="56" t="s">
        <v>797</v>
      </c>
      <c r="E253" s="61" t="s">
        <v>1015</v>
      </c>
      <c r="F253" s="61" t="s">
        <v>783</v>
      </c>
      <c r="G253" s="83" t="s">
        <v>943</v>
      </c>
    </row>
    <row r="254" customFormat="false" ht="48" hidden="false" customHeight="true" outlineLevel="0" collapsed="false">
      <c r="A254" s="83" t="n">
        <v>3</v>
      </c>
      <c r="B254" s="56" t="s">
        <v>798</v>
      </c>
      <c r="C254" s="83" t="s">
        <v>934</v>
      </c>
      <c r="D254" s="56" t="s">
        <v>797</v>
      </c>
      <c r="E254" s="61" t="s">
        <v>1015</v>
      </c>
      <c r="F254" s="61" t="s">
        <v>783</v>
      </c>
      <c r="G254" s="83" t="s">
        <v>943</v>
      </c>
    </row>
    <row r="255" customFormat="false" ht="48" hidden="false" customHeight="true" outlineLevel="0" collapsed="false">
      <c r="A255" s="83" t="n">
        <v>4</v>
      </c>
      <c r="B255" s="56" t="s">
        <v>799</v>
      </c>
      <c r="C255" s="83" t="s">
        <v>934</v>
      </c>
      <c r="D255" s="56" t="s">
        <v>800</v>
      </c>
      <c r="E255" s="61" t="s">
        <v>1015</v>
      </c>
      <c r="F255" s="61" t="s">
        <v>783</v>
      </c>
      <c r="G255" s="83" t="s">
        <v>943</v>
      </c>
    </row>
    <row r="256" customFormat="false" ht="48" hidden="false" customHeight="true" outlineLevel="0" collapsed="false">
      <c r="A256" s="83" t="n">
        <v>5</v>
      </c>
      <c r="B256" s="56" t="s">
        <v>801</v>
      </c>
      <c r="C256" s="83" t="s">
        <v>934</v>
      </c>
      <c r="D256" s="56" t="s">
        <v>800</v>
      </c>
      <c r="E256" s="61" t="s">
        <v>1015</v>
      </c>
      <c r="F256" s="61" t="s">
        <v>783</v>
      </c>
      <c r="G256" s="83" t="s">
        <v>943</v>
      </c>
    </row>
    <row r="257" customFormat="false" ht="48" hidden="false" customHeight="true" outlineLevel="0" collapsed="false">
      <c r="A257" s="83" t="n">
        <v>6</v>
      </c>
      <c r="B257" s="61" t="s">
        <v>802</v>
      </c>
      <c r="C257" s="83" t="s">
        <v>934</v>
      </c>
      <c r="D257" s="56" t="s">
        <v>797</v>
      </c>
      <c r="E257" s="61" t="s">
        <v>1015</v>
      </c>
      <c r="F257" s="61" t="s">
        <v>783</v>
      </c>
      <c r="G257" s="83" t="s">
        <v>943</v>
      </c>
    </row>
    <row r="258" customFormat="false" ht="48" hidden="false" customHeight="true" outlineLevel="0" collapsed="false">
      <c r="A258" s="83" t="n">
        <v>7</v>
      </c>
      <c r="B258" s="61" t="s">
        <v>803</v>
      </c>
      <c r="C258" s="83" t="s">
        <v>934</v>
      </c>
      <c r="D258" s="56" t="s">
        <v>804</v>
      </c>
      <c r="E258" s="61" t="s">
        <v>925</v>
      </c>
      <c r="F258" s="61" t="s">
        <v>618</v>
      </c>
      <c r="G258" s="83" t="s">
        <v>943</v>
      </c>
    </row>
    <row r="259" customFormat="false" ht="109.5" hidden="false" customHeight="true" outlineLevel="0" collapsed="false">
      <c r="A259" s="84" t="s">
        <v>904</v>
      </c>
      <c r="B259" s="84"/>
      <c r="C259" s="85" t="s">
        <v>1023</v>
      </c>
      <c r="D259" s="85"/>
      <c r="E259" s="85"/>
      <c r="F259" s="85"/>
      <c r="G259" s="85"/>
    </row>
    <row r="260" customFormat="false" ht="19.5" hidden="false" customHeight="true" outlineLevel="0" collapsed="false">
      <c r="A260" s="86" t="s">
        <v>906</v>
      </c>
      <c r="B260" s="86"/>
      <c r="C260" s="86" t="s">
        <v>907</v>
      </c>
      <c r="D260" s="86"/>
      <c r="E260" s="86"/>
      <c r="F260" s="86"/>
      <c r="G260" s="86" t="s">
        <v>908</v>
      </c>
    </row>
    <row r="262" customFormat="false" ht="24" hidden="false" customHeight="true" outlineLevel="0" collapsed="false">
      <c r="A262" s="80" t="s">
        <v>1024</v>
      </c>
      <c r="B262" s="80"/>
      <c r="C262" s="80"/>
      <c r="D262" s="80"/>
      <c r="E262" s="80"/>
      <c r="F262" s="80"/>
      <c r="G262" s="80"/>
    </row>
    <row r="263" customFormat="false" ht="18" hidden="false" customHeight="true" outlineLevel="0" collapsed="false">
      <c r="A263" s="81" t="s">
        <v>1025</v>
      </c>
      <c r="B263" s="81"/>
      <c r="C263" s="81"/>
      <c r="D263" s="81"/>
      <c r="E263" s="81"/>
      <c r="F263" s="81"/>
      <c r="G263" s="81"/>
    </row>
    <row r="264" customFormat="false" ht="15" hidden="false" customHeight="false" outlineLevel="0" collapsed="false">
      <c r="A264" s="82" t="s">
        <v>894</v>
      </c>
      <c r="B264" s="82" t="s">
        <v>142</v>
      </c>
      <c r="C264" s="82" t="s">
        <v>895</v>
      </c>
      <c r="D264" s="82" t="s">
        <v>523</v>
      </c>
      <c r="E264" s="82" t="s">
        <v>896</v>
      </c>
      <c r="F264" s="82" t="s">
        <v>897</v>
      </c>
      <c r="G264" s="82" t="s">
        <v>95</v>
      </c>
    </row>
    <row r="265" customFormat="false" ht="48" hidden="false" customHeight="true" outlineLevel="0" collapsed="false">
      <c r="A265" s="83" t="n">
        <v>1</v>
      </c>
      <c r="B265" s="61" t="s">
        <v>806</v>
      </c>
      <c r="C265" s="83" t="s">
        <v>934</v>
      </c>
      <c r="D265" s="56" t="s">
        <v>797</v>
      </c>
      <c r="E265" s="61" t="s">
        <v>1015</v>
      </c>
      <c r="F265" s="61" t="s">
        <v>783</v>
      </c>
      <c r="G265" s="83" t="s">
        <v>943</v>
      </c>
    </row>
    <row r="266" customFormat="false" ht="48" hidden="false" customHeight="true" outlineLevel="0" collapsed="false">
      <c r="A266" s="83" t="n">
        <v>2</v>
      </c>
      <c r="B266" s="61" t="s">
        <v>807</v>
      </c>
      <c r="C266" s="83" t="s">
        <v>934</v>
      </c>
      <c r="D266" s="56" t="s">
        <v>808</v>
      </c>
      <c r="E266" s="56" t="s">
        <v>1022</v>
      </c>
      <c r="F266" s="61" t="s">
        <v>795</v>
      </c>
      <c r="G266" s="83" t="s">
        <v>943</v>
      </c>
    </row>
    <row r="267" customFormat="false" ht="48" hidden="false" customHeight="true" outlineLevel="0" collapsed="false">
      <c r="A267" s="83" t="n">
        <v>3</v>
      </c>
      <c r="B267" s="61" t="s">
        <v>809</v>
      </c>
      <c r="C267" s="83" t="s">
        <v>901</v>
      </c>
      <c r="D267" s="56" t="s">
        <v>672</v>
      </c>
      <c r="E267" s="56" t="s">
        <v>1022</v>
      </c>
      <c r="F267" s="61" t="s">
        <v>795</v>
      </c>
      <c r="G267" s="83" t="s">
        <v>943</v>
      </c>
    </row>
    <row r="268" customFormat="false" ht="48" hidden="false" customHeight="true" outlineLevel="0" collapsed="false">
      <c r="A268" s="83" t="n">
        <v>4</v>
      </c>
      <c r="B268" s="56" t="s">
        <v>811</v>
      </c>
      <c r="C268" s="83" t="s">
        <v>901</v>
      </c>
      <c r="D268" s="56" t="s">
        <v>812</v>
      </c>
      <c r="E268" s="56" t="s">
        <v>991</v>
      </c>
      <c r="F268" s="61" t="s">
        <v>734</v>
      </c>
      <c r="G268" s="83" t="s">
        <v>943</v>
      </c>
    </row>
    <row r="269" customFormat="false" ht="48" hidden="false" customHeight="true" outlineLevel="0" collapsed="false">
      <c r="A269" s="83" t="n">
        <v>5</v>
      </c>
      <c r="B269" s="61" t="s">
        <v>349</v>
      </c>
      <c r="C269" s="83" t="s">
        <v>934</v>
      </c>
      <c r="D269" s="56" t="s">
        <v>662</v>
      </c>
      <c r="E269" s="56" t="s">
        <v>1026</v>
      </c>
      <c r="F269" s="61" t="s">
        <v>815</v>
      </c>
      <c r="G269" s="83" t="s">
        <v>943</v>
      </c>
    </row>
    <row r="270" customFormat="false" ht="48" hidden="false" customHeight="true" outlineLevel="0" collapsed="false">
      <c r="A270" s="83" t="n">
        <v>6</v>
      </c>
      <c r="B270" s="61" t="s">
        <v>816</v>
      </c>
      <c r="C270" s="83" t="s">
        <v>934</v>
      </c>
      <c r="D270" s="56" t="s">
        <v>812</v>
      </c>
      <c r="E270" s="61" t="s">
        <v>925</v>
      </c>
      <c r="F270" s="61" t="s">
        <v>618</v>
      </c>
      <c r="G270" s="83" t="s">
        <v>943</v>
      </c>
    </row>
    <row r="271" customFormat="false" ht="48" hidden="false" customHeight="true" outlineLevel="0" collapsed="false">
      <c r="A271" s="83" t="n">
        <v>7</v>
      </c>
      <c r="B271" s="61" t="s">
        <v>817</v>
      </c>
      <c r="C271" s="83" t="s">
        <v>934</v>
      </c>
      <c r="D271" s="56" t="s">
        <v>818</v>
      </c>
      <c r="E271" s="61" t="s">
        <v>925</v>
      </c>
      <c r="F271" s="61" t="s">
        <v>618</v>
      </c>
      <c r="G271" s="83" t="s">
        <v>943</v>
      </c>
    </row>
    <row r="272" customFormat="false" ht="109.5" hidden="false" customHeight="true" outlineLevel="0" collapsed="false">
      <c r="A272" s="84" t="s">
        <v>904</v>
      </c>
      <c r="B272" s="84"/>
      <c r="C272" s="85" t="s">
        <v>1027</v>
      </c>
      <c r="D272" s="85"/>
      <c r="E272" s="85"/>
      <c r="F272" s="85"/>
      <c r="G272" s="85"/>
    </row>
    <row r="273" customFormat="false" ht="19.5" hidden="false" customHeight="true" outlineLevel="0" collapsed="false">
      <c r="A273" s="86" t="s">
        <v>906</v>
      </c>
      <c r="B273" s="86"/>
      <c r="C273" s="86" t="s">
        <v>907</v>
      </c>
      <c r="D273" s="86"/>
      <c r="E273" s="86"/>
      <c r="F273" s="86"/>
      <c r="G273" s="86" t="s">
        <v>908</v>
      </c>
    </row>
    <row r="275" customFormat="false" ht="24" hidden="false" customHeight="true" outlineLevel="0" collapsed="false">
      <c r="A275" s="80" t="s">
        <v>1028</v>
      </c>
      <c r="B275" s="80"/>
      <c r="C275" s="80"/>
      <c r="D275" s="80"/>
      <c r="E275" s="80"/>
      <c r="F275" s="80"/>
      <c r="G275" s="80"/>
    </row>
    <row r="276" customFormat="false" ht="18" hidden="false" customHeight="true" outlineLevel="0" collapsed="false">
      <c r="A276" s="81" t="s">
        <v>1029</v>
      </c>
      <c r="B276" s="81"/>
      <c r="C276" s="81"/>
      <c r="D276" s="81"/>
      <c r="E276" s="81"/>
      <c r="F276" s="81"/>
      <c r="G276" s="81"/>
    </row>
    <row r="277" customFormat="false" ht="15" hidden="false" customHeight="false" outlineLevel="0" collapsed="false">
      <c r="A277" s="82" t="s">
        <v>894</v>
      </c>
      <c r="B277" s="82" t="s">
        <v>142</v>
      </c>
      <c r="C277" s="82" t="s">
        <v>895</v>
      </c>
      <c r="D277" s="82" t="s">
        <v>523</v>
      </c>
      <c r="E277" s="82" t="s">
        <v>896</v>
      </c>
      <c r="F277" s="82" t="s">
        <v>897</v>
      </c>
      <c r="G277" s="82" t="s">
        <v>95</v>
      </c>
    </row>
    <row r="278" customFormat="false" ht="48" hidden="false" customHeight="true" outlineLevel="0" collapsed="false">
      <c r="A278" s="83" t="n">
        <v>1</v>
      </c>
      <c r="B278" s="56" t="s">
        <v>820</v>
      </c>
      <c r="C278" s="83" t="s">
        <v>901</v>
      </c>
      <c r="D278" s="56" t="s">
        <v>636</v>
      </c>
      <c r="E278" s="56" t="s">
        <v>939</v>
      </c>
      <c r="F278" s="61" t="s">
        <v>649</v>
      </c>
      <c r="G278" s="83" t="s">
        <v>943</v>
      </c>
    </row>
    <row r="279" customFormat="false" ht="48" hidden="false" customHeight="true" outlineLevel="0" collapsed="false">
      <c r="A279" s="83" t="n">
        <v>2</v>
      </c>
      <c r="B279" s="61" t="s">
        <v>821</v>
      </c>
      <c r="C279" s="83" t="s">
        <v>934</v>
      </c>
      <c r="D279" s="56" t="s">
        <v>808</v>
      </c>
      <c r="E279" s="61" t="s">
        <v>1030</v>
      </c>
      <c r="F279" s="61" t="s">
        <v>824</v>
      </c>
      <c r="G279" s="83" t="s">
        <v>943</v>
      </c>
    </row>
    <row r="280" customFormat="false" ht="48" hidden="false" customHeight="true" outlineLevel="0" collapsed="false">
      <c r="A280" s="83" t="n">
        <v>3</v>
      </c>
      <c r="B280" s="61" t="s">
        <v>825</v>
      </c>
      <c r="C280" s="83" t="s">
        <v>934</v>
      </c>
      <c r="D280" s="56" t="s">
        <v>720</v>
      </c>
      <c r="E280" s="56" t="s">
        <v>1022</v>
      </c>
      <c r="F280" s="61" t="s">
        <v>795</v>
      </c>
      <c r="G280" s="83" t="s">
        <v>943</v>
      </c>
    </row>
    <row r="281" customFormat="false" ht="48" hidden="false" customHeight="true" outlineLevel="0" collapsed="false">
      <c r="A281" s="83" t="n">
        <v>4</v>
      </c>
      <c r="B281" s="61" t="s">
        <v>826</v>
      </c>
      <c r="C281" s="83" t="s">
        <v>901</v>
      </c>
      <c r="D281" s="56" t="s">
        <v>827</v>
      </c>
      <c r="E281" s="61" t="s">
        <v>1031</v>
      </c>
      <c r="F281" s="56" t="s">
        <v>830</v>
      </c>
      <c r="G281" s="83" t="s">
        <v>943</v>
      </c>
    </row>
    <row r="282" customFormat="false" ht="48" hidden="false" customHeight="true" outlineLevel="0" collapsed="false">
      <c r="A282" s="83" t="n">
        <v>5</v>
      </c>
      <c r="B282" s="61" t="s">
        <v>831</v>
      </c>
      <c r="C282" s="83" t="s">
        <v>901</v>
      </c>
      <c r="D282" s="56" t="s">
        <v>827</v>
      </c>
      <c r="E282" s="61" t="s">
        <v>1031</v>
      </c>
      <c r="F282" s="56" t="s">
        <v>830</v>
      </c>
      <c r="G282" s="83" t="s">
        <v>943</v>
      </c>
    </row>
    <row r="283" customFormat="false" ht="48" hidden="false" customHeight="true" outlineLevel="0" collapsed="false">
      <c r="A283" s="83" t="n">
        <v>6</v>
      </c>
      <c r="B283" s="56" t="s">
        <v>832</v>
      </c>
      <c r="C283" s="83" t="s">
        <v>934</v>
      </c>
      <c r="D283" s="56" t="s">
        <v>833</v>
      </c>
      <c r="E283" s="61" t="s">
        <v>1031</v>
      </c>
      <c r="F283" s="56" t="s">
        <v>830</v>
      </c>
      <c r="G283" s="83" t="s">
        <v>943</v>
      </c>
    </row>
    <row r="284" customFormat="false" ht="48" hidden="false" customHeight="true" outlineLevel="0" collapsed="false">
      <c r="A284" s="83" t="n">
        <v>7</v>
      </c>
      <c r="B284" s="56" t="s">
        <v>834</v>
      </c>
      <c r="C284" s="83" t="s">
        <v>934</v>
      </c>
      <c r="D284" s="56" t="s">
        <v>636</v>
      </c>
      <c r="E284" s="61" t="s">
        <v>925</v>
      </c>
      <c r="F284" s="61" t="s">
        <v>618</v>
      </c>
      <c r="G284" s="83" t="s">
        <v>943</v>
      </c>
    </row>
    <row r="285" customFormat="false" ht="48" hidden="false" customHeight="true" outlineLevel="0" collapsed="false">
      <c r="A285" s="83" t="n">
        <v>8</v>
      </c>
      <c r="B285" s="61" t="s">
        <v>835</v>
      </c>
      <c r="C285" s="83" t="s">
        <v>901</v>
      </c>
      <c r="D285" s="56" t="s">
        <v>836</v>
      </c>
      <c r="E285" s="56" t="s">
        <v>939</v>
      </c>
      <c r="F285" s="61" t="s">
        <v>649</v>
      </c>
      <c r="G285" s="83" t="s">
        <v>943</v>
      </c>
    </row>
    <row r="286" customFormat="false" ht="109.5" hidden="false" customHeight="true" outlineLevel="0" collapsed="false">
      <c r="A286" s="84" t="s">
        <v>904</v>
      </c>
      <c r="B286" s="84"/>
      <c r="C286" s="85" t="s">
        <v>1032</v>
      </c>
      <c r="D286" s="85"/>
      <c r="E286" s="85"/>
      <c r="F286" s="85"/>
      <c r="G286" s="85"/>
    </row>
    <row r="287" customFormat="false" ht="19.5" hidden="false" customHeight="true" outlineLevel="0" collapsed="false">
      <c r="A287" s="87" t="s">
        <v>906</v>
      </c>
      <c r="B287" s="87"/>
      <c r="C287" s="87" t="s">
        <v>930</v>
      </c>
      <c r="D287" s="87"/>
      <c r="E287" s="87"/>
      <c r="F287" s="87"/>
      <c r="G287" s="87" t="s">
        <v>931</v>
      </c>
    </row>
    <row r="289" customFormat="false" ht="24" hidden="false" customHeight="true" outlineLevel="0" collapsed="false">
      <c r="A289" s="80" t="s">
        <v>1033</v>
      </c>
      <c r="B289" s="80"/>
      <c r="C289" s="80"/>
      <c r="D289" s="80"/>
      <c r="E289" s="80"/>
      <c r="F289" s="80"/>
      <c r="G289" s="80"/>
    </row>
    <row r="290" customFormat="false" ht="18" hidden="false" customHeight="true" outlineLevel="0" collapsed="false">
      <c r="A290" s="81" t="s">
        <v>1034</v>
      </c>
      <c r="B290" s="81"/>
      <c r="C290" s="81"/>
      <c r="D290" s="81"/>
      <c r="E290" s="81"/>
      <c r="F290" s="81"/>
      <c r="G290" s="81"/>
    </row>
    <row r="291" customFormat="false" ht="15" hidden="false" customHeight="false" outlineLevel="0" collapsed="false">
      <c r="A291" s="82" t="s">
        <v>894</v>
      </c>
      <c r="B291" s="82" t="s">
        <v>142</v>
      </c>
      <c r="C291" s="82" t="s">
        <v>895</v>
      </c>
      <c r="D291" s="82" t="s">
        <v>523</v>
      </c>
      <c r="E291" s="82" t="s">
        <v>896</v>
      </c>
      <c r="F291" s="82" t="s">
        <v>897</v>
      </c>
      <c r="G291" s="82" t="s">
        <v>95</v>
      </c>
    </row>
    <row r="292" customFormat="false" ht="48" hidden="false" customHeight="true" outlineLevel="0" collapsed="false">
      <c r="A292" s="83" t="n">
        <v>1</v>
      </c>
      <c r="B292" s="61" t="s">
        <v>840</v>
      </c>
      <c r="C292" s="83" t="s">
        <v>934</v>
      </c>
      <c r="D292" s="56" t="s">
        <v>841</v>
      </c>
      <c r="E292" s="61" t="s">
        <v>925</v>
      </c>
      <c r="F292" s="61" t="s">
        <v>618</v>
      </c>
      <c r="G292" s="83" t="s">
        <v>943</v>
      </c>
    </row>
    <row r="293" customFormat="false" ht="48" hidden="false" customHeight="true" outlineLevel="0" collapsed="false">
      <c r="A293" s="83" t="n">
        <v>2</v>
      </c>
      <c r="B293" s="61" t="s">
        <v>842</v>
      </c>
      <c r="C293" s="83" t="s">
        <v>934</v>
      </c>
      <c r="D293" s="56" t="s">
        <v>672</v>
      </c>
      <c r="E293" s="61" t="s">
        <v>1035</v>
      </c>
      <c r="F293" s="61" t="s">
        <v>845</v>
      </c>
      <c r="G293" s="83" t="s">
        <v>943</v>
      </c>
    </row>
    <row r="294" customFormat="false" ht="48" hidden="false" customHeight="true" outlineLevel="0" collapsed="false">
      <c r="A294" s="83" t="n">
        <v>3</v>
      </c>
      <c r="B294" s="61" t="s">
        <v>846</v>
      </c>
      <c r="C294" s="83" t="s">
        <v>934</v>
      </c>
      <c r="D294" s="56" t="s">
        <v>847</v>
      </c>
      <c r="E294" s="61" t="s">
        <v>1035</v>
      </c>
      <c r="F294" s="61" t="s">
        <v>845</v>
      </c>
      <c r="G294" s="83" t="s">
        <v>943</v>
      </c>
    </row>
    <row r="295" customFormat="false" ht="48" hidden="false" customHeight="true" outlineLevel="0" collapsed="false">
      <c r="A295" s="83" t="n">
        <v>4</v>
      </c>
      <c r="B295" s="56" t="s">
        <v>848</v>
      </c>
      <c r="C295" s="83" t="s">
        <v>934</v>
      </c>
      <c r="D295" s="56" t="s">
        <v>755</v>
      </c>
      <c r="E295" s="56" t="s">
        <v>1004</v>
      </c>
      <c r="F295" s="61" t="s">
        <v>762</v>
      </c>
      <c r="G295" s="83" t="s">
        <v>943</v>
      </c>
    </row>
    <row r="296" customFormat="false" ht="48" hidden="false" customHeight="true" outlineLevel="0" collapsed="false">
      <c r="A296" s="83" t="n">
        <v>5</v>
      </c>
      <c r="B296" s="56" t="s">
        <v>849</v>
      </c>
      <c r="C296" s="83" t="s">
        <v>901</v>
      </c>
      <c r="D296" s="56" t="s">
        <v>850</v>
      </c>
      <c r="E296" s="61" t="s">
        <v>1035</v>
      </c>
      <c r="F296" s="61" t="s">
        <v>845</v>
      </c>
      <c r="G296" s="83" t="s">
        <v>943</v>
      </c>
    </row>
    <row r="297" customFormat="false" ht="48" hidden="false" customHeight="true" outlineLevel="0" collapsed="false">
      <c r="A297" s="83" t="n">
        <v>6</v>
      </c>
      <c r="B297" s="56" t="s">
        <v>851</v>
      </c>
      <c r="C297" s="83" t="s">
        <v>934</v>
      </c>
      <c r="D297" s="61" t="s">
        <v>852</v>
      </c>
      <c r="E297" s="56" t="s">
        <v>939</v>
      </c>
      <c r="F297" s="61" t="s">
        <v>649</v>
      </c>
      <c r="G297" s="83" t="s">
        <v>943</v>
      </c>
    </row>
    <row r="298" customFormat="false" ht="48" hidden="false" customHeight="true" outlineLevel="0" collapsed="false">
      <c r="A298" s="83" t="n">
        <v>7</v>
      </c>
      <c r="B298" s="61" t="s">
        <v>853</v>
      </c>
      <c r="C298" s="83" t="s">
        <v>901</v>
      </c>
      <c r="D298" s="56" t="s">
        <v>590</v>
      </c>
      <c r="E298" s="56" t="s">
        <v>939</v>
      </c>
      <c r="F298" s="61" t="s">
        <v>649</v>
      </c>
      <c r="G298" s="83" t="s">
        <v>943</v>
      </c>
    </row>
    <row r="299" customFormat="false" ht="109.5" hidden="false" customHeight="true" outlineLevel="0" collapsed="false">
      <c r="A299" s="84" t="s">
        <v>904</v>
      </c>
      <c r="B299" s="84"/>
      <c r="C299" s="85" t="s">
        <v>1036</v>
      </c>
      <c r="D299" s="85"/>
      <c r="E299" s="85"/>
      <c r="F299" s="85"/>
      <c r="G299" s="85"/>
    </row>
    <row r="300" customFormat="false" ht="19.5" hidden="false" customHeight="true" outlineLevel="0" collapsed="false">
      <c r="A300" s="86" t="s">
        <v>906</v>
      </c>
      <c r="B300" s="86"/>
      <c r="C300" s="86" t="s">
        <v>907</v>
      </c>
      <c r="D300" s="86"/>
      <c r="E300" s="86"/>
      <c r="F300" s="86"/>
      <c r="G300" s="86" t="s">
        <v>908</v>
      </c>
    </row>
    <row r="302" customFormat="false" ht="24" hidden="false" customHeight="true" outlineLevel="0" collapsed="false">
      <c r="A302" s="80" t="s">
        <v>1037</v>
      </c>
      <c r="B302" s="80"/>
      <c r="C302" s="80"/>
      <c r="D302" s="80"/>
      <c r="E302" s="80"/>
      <c r="F302" s="80"/>
      <c r="G302" s="80"/>
    </row>
    <row r="303" customFormat="false" ht="18" hidden="false" customHeight="true" outlineLevel="0" collapsed="false">
      <c r="A303" s="81" t="s">
        <v>1038</v>
      </c>
      <c r="B303" s="81"/>
      <c r="C303" s="81"/>
      <c r="D303" s="81"/>
      <c r="E303" s="81"/>
      <c r="F303" s="81"/>
      <c r="G303" s="81"/>
    </row>
    <row r="304" customFormat="false" ht="15" hidden="false" customHeight="false" outlineLevel="0" collapsed="false">
      <c r="A304" s="82" t="s">
        <v>894</v>
      </c>
      <c r="B304" s="82" t="s">
        <v>142</v>
      </c>
      <c r="C304" s="82" t="s">
        <v>895</v>
      </c>
      <c r="D304" s="82" t="s">
        <v>523</v>
      </c>
      <c r="E304" s="82" t="s">
        <v>896</v>
      </c>
      <c r="F304" s="82" t="s">
        <v>897</v>
      </c>
      <c r="G304" s="82" t="s">
        <v>95</v>
      </c>
    </row>
    <row r="305" customFormat="false" ht="48" hidden="false" customHeight="true" outlineLevel="0" collapsed="false">
      <c r="A305" s="83" t="n">
        <v>1</v>
      </c>
      <c r="B305" s="56" t="s">
        <v>855</v>
      </c>
      <c r="C305" s="83" t="s">
        <v>934</v>
      </c>
      <c r="D305" s="56" t="s">
        <v>856</v>
      </c>
      <c r="E305" s="61" t="s">
        <v>1035</v>
      </c>
      <c r="F305" s="61" t="s">
        <v>845</v>
      </c>
      <c r="G305" s="83" t="s">
        <v>943</v>
      </c>
    </row>
    <row r="306" customFormat="false" ht="48" hidden="false" customHeight="true" outlineLevel="0" collapsed="false">
      <c r="A306" s="83" t="n">
        <v>2</v>
      </c>
      <c r="B306" s="56" t="s">
        <v>857</v>
      </c>
      <c r="C306" s="83" t="s">
        <v>934</v>
      </c>
      <c r="D306" s="56" t="s">
        <v>858</v>
      </c>
      <c r="E306" s="56" t="s">
        <v>939</v>
      </c>
      <c r="F306" s="61" t="s">
        <v>649</v>
      </c>
      <c r="G306" s="83" t="s">
        <v>943</v>
      </c>
    </row>
    <row r="307" customFormat="false" ht="48" hidden="false" customHeight="true" outlineLevel="0" collapsed="false">
      <c r="A307" s="83" t="n">
        <v>3</v>
      </c>
      <c r="B307" s="61" t="s">
        <v>859</v>
      </c>
      <c r="C307" s="83" t="s">
        <v>934</v>
      </c>
      <c r="D307" s="56" t="s">
        <v>860</v>
      </c>
      <c r="E307" s="56" t="s">
        <v>939</v>
      </c>
      <c r="F307" s="61" t="s">
        <v>649</v>
      </c>
      <c r="G307" s="83" t="s">
        <v>943</v>
      </c>
    </row>
    <row r="308" customFormat="false" ht="48" hidden="false" customHeight="true" outlineLevel="0" collapsed="false">
      <c r="A308" s="83" t="n">
        <v>4</v>
      </c>
      <c r="B308" s="61" t="s">
        <v>861</v>
      </c>
      <c r="C308" s="83" t="s">
        <v>934</v>
      </c>
      <c r="D308" s="56" t="s">
        <v>836</v>
      </c>
      <c r="E308" s="56" t="s">
        <v>939</v>
      </c>
      <c r="F308" s="61" t="s">
        <v>649</v>
      </c>
      <c r="G308" s="83" t="s">
        <v>943</v>
      </c>
    </row>
    <row r="309" customFormat="false" ht="48" hidden="false" customHeight="true" outlineLevel="0" collapsed="false">
      <c r="A309" s="83" t="n">
        <v>5</v>
      </c>
      <c r="B309" s="56" t="s">
        <v>862</v>
      </c>
      <c r="C309" s="83" t="s">
        <v>901</v>
      </c>
      <c r="D309" s="61" t="s">
        <v>863</v>
      </c>
      <c r="E309" s="56" t="s">
        <v>939</v>
      </c>
      <c r="F309" s="61" t="s">
        <v>649</v>
      </c>
      <c r="G309" s="83" t="s">
        <v>943</v>
      </c>
    </row>
    <row r="310" customFormat="false" ht="109.5" hidden="false" customHeight="true" outlineLevel="0" collapsed="false">
      <c r="A310" s="84" t="s">
        <v>904</v>
      </c>
      <c r="B310" s="84"/>
      <c r="C310" s="85" t="s">
        <v>1039</v>
      </c>
      <c r="D310" s="85"/>
      <c r="E310" s="85"/>
      <c r="F310" s="85"/>
      <c r="G310" s="85"/>
    </row>
    <row r="311" customFormat="false" ht="19.5" hidden="false" customHeight="true" outlineLevel="0" collapsed="false">
      <c r="A311" s="86" t="s">
        <v>906</v>
      </c>
      <c r="B311" s="86"/>
      <c r="C311" s="86" t="s">
        <v>907</v>
      </c>
      <c r="D311" s="86"/>
      <c r="E311" s="86"/>
      <c r="F311" s="86"/>
      <c r="G311" s="86" t="s">
        <v>908</v>
      </c>
    </row>
    <row r="313" customFormat="false" ht="24" hidden="false" customHeight="true" outlineLevel="0" collapsed="false">
      <c r="A313" s="80" t="s">
        <v>1040</v>
      </c>
      <c r="B313" s="80"/>
      <c r="C313" s="80"/>
      <c r="D313" s="80"/>
      <c r="E313" s="80"/>
      <c r="F313" s="80"/>
      <c r="G313" s="80"/>
    </row>
    <row r="314" customFormat="false" ht="18" hidden="false" customHeight="true" outlineLevel="0" collapsed="false">
      <c r="A314" s="81" t="s">
        <v>1041</v>
      </c>
      <c r="B314" s="81"/>
      <c r="C314" s="81"/>
      <c r="D314" s="81"/>
      <c r="E314" s="81"/>
      <c r="F314" s="81"/>
      <c r="G314" s="81"/>
    </row>
    <row r="315" customFormat="false" ht="15" hidden="false" customHeight="false" outlineLevel="0" collapsed="false">
      <c r="A315" s="82" t="s">
        <v>894</v>
      </c>
      <c r="B315" s="82" t="s">
        <v>142</v>
      </c>
      <c r="C315" s="82" t="s">
        <v>895</v>
      </c>
      <c r="D315" s="82" t="s">
        <v>523</v>
      </c>
      <c r="E315" s="82" t="s">
        <v>896</v>
      </c>
      <c r="F315" s="82" t="s">
        <v>897</v>
      </c>
      <c r="G315" s="82" t="s">
        <v>95</v>
      </c>
    </row>
    <row r="316" customFormat="false" ht="48" hidden="false" customHeight="true" outlineLevel="0" collapsed="false">
      <c r="A316" s="83" t="n">
        <v>1</v>
      </c>
      <c r="B316" s="61" t="s">
        <v>865</v>
      </c>
      <c r="C316" s="83" t="s">
        <v>934</v>
      </c>
      <c r="D316" s="56" t="s">
        <v>636</v>
      </c>
      <c r="E316" s="56" t="s">
        <v>939</v>
      </c>
      <c r="F316" s="61" t="s">
        <v>649</v>
      </c>
      <c r="G316" s="83" t="s">
        <v>943</v>
      </c>
    </row>
    <row r="317" customFormat="false" ht="48" hidden="false" customHeight="true" outlineLevel="0" collapsed="false">
      <c r="A317" s="83" t="n">
        <v>2</v>
      </c>
      <c r="B317" s="56" t="s">
        <v>866</v>
      </c>
      <c r="C317" s="83" t="s">
        <v>901</v>
      </c>
      <c r="D317" s="61" t="s">
        <v>867</v>
      </c>
      <c r="E317" s="61" t="s">
        <v>1042</v>
      </c>
      <c r="F317" s="61" t="s">
        <v>870</v>
      </c>
      <c r="G317" s="83" t="s">
        <v>943</v>
      </c>
    </row>
    <row r="318" customFormat="false" ht="48" hidden="false" customHeight="true" outlineLevel="0" collapsed="false">
      <c r="A318" s="83" t="n">
        <v>3</v>
      </c>
      <c r="B318" s="61" t="s">
        <v>871</v>
      </c>
      <c r="C318" s="83" t="s">
        <v>934</v>
      </c>
      <c r="D318" s="61" t="s">
        <v>872</v>
      </c>
      <c r="E318" s="56" t="s">
        <v>939</v>
      </c>
      <c r="F318" s="61" t="s">
        <v>649</v>
      </c>
      <c r="G318" s="83" t="s">
        <v>943</v>
      </c>
    </row>
    <row r="319" customFormat="false" ht="48" hidden="false" customHeight="true" outlineLevel="0" collapsed="false">
      <c r="A319" s="83" t="n">
        <v>4</v>
      </c>
      <c r="B319" s="61" t="s">
        <v>873</v>
      </c>
      <c r="C319" s="83" t="s">
        <v>934</v>
      </c>
      <c r="D319" s="61" t="s">
        <v>872</v>
      </c>
      <c r="E319" s="56" t="s">
        <v>939</v>
      </c>
      <c r="F319" s="61" t="s">
        <v>649</v>
      </c>
      <c r="G319" s="83" t="s">
        <v>943</v>
      </c>
    </row>
    <row r="320" customFormat="false" ht="109.5" hidden="false" customHeight="true" outlineLevel="0" collapsed="false">
      <c r="A320" s="84" t="s">
        <v>904</v>
      </c>
      <c r="B320" s="84"/>
      <c r="C320" s="85" t="s">
        <v>1043</v>
      </c>
      <c r="D320" s="85"/>
      <c r="E320" s="85"/>
      <c r="F320" s="85"/>
      <c r="G320" s="85"/>
    </row>
    <row r="321" customFormat="false" ht="19.5" hidden="false" customHeight="true" outlineLevel="0" collapsed="false">
      <c r="A321" s="86" t="s">
        <v>906</v>
      </c>
      <c r="B321" s="86"/>
      <c r="C321" s="86" t="s">
        <v>907</v>
      </c>
      <c r="D321" s="86"/>
      <c r="E321" s="86"/>
      <c r="F321" s="86"/>
      <c r="G321" s="86" t="s">
        <v>908</v>
      </c>
    </row>
    <row r="323" customFormat="false" ht="24" hidden="false" customHeight="true" outlineLevel="0" collapsed="false">
      <c r="A323" s="80" t="s">
        <v>1044</v>
      </c>
      <c r="B323" s="80"/>
      <c r="C323" s="80"/>
      <c r="D323" s="80"/>
      <c r="E323" s="80"/>
      <c r="F323" s="80"/>
      <c r="G323" s="80"/>
    </row>
    <row r="324" customFormat="false" ht="18" hidden="false" customHeight="true" outlineLevel="0" collapsed="false">
      <c r="A324" s="81" t="s">
        <v>1045</v>
      </c>
      <c r="B324" s="81"/>
      <c r="C324" s="81"/>
      <c r="D324" s="81"/>
      <c r="E324" s="81"/>
      <c r="F324" s="81"/>
      <c r="G324" s="81"/>
    </row>
    <row r="325" customFormat="false" ht="15" hidden="false" customHeight="false" outlineLevel="0" collapsed="false">
      <c r="A325" s="82" t="s">
        <v>894</v>
      </c>
      <c r="B325" s="82" t="s">
        <v>142</v>
      </c>
      <c r="C325" s="82" t="s">
        <v>895</v>
      </c>
      <c r="D325" s="82" t="s">
        <v>523</v>
      </c>
      <c r="E325" s="82" t="s">
        <v>896</v>
      </c>
      <c r="F325" s="82" t="s">
        <v>897</v>
      </c>
      <c r="G325" s="82" t="s">
        <v>95</v>
      </c>
    </row>
    <row r="326" customFormat="false" ht="48" hidden="false" customHeight="true" outlineLevel="0" collapsed="false">
      <c r="A326" s="83" t="n">
        <v>1</v>
      </c>
      <c r="B326" s="61" t="s">
        <v>876</v>
      </c>
      <c r="C326" s="83" t="s">
        <v>934</v>
      </c>
      <c r="D326" s="56" t="s">
        <v>780</v>
      </c>
      <c r="E326" s="61" t="s">
        <v>1046</v>
      </c>
      <c r="F326" s="61" t="s">
        <v>879</v>
      </c>
      <c r="G326" s="83" t="s">
        <v>943</v>
      </c>
    </row>
    <row r="327" customFormat="false" ht="48" hidden="false" customHeight="true" outlineLevel="0" collapsed="false">
      <c r="A327" s="83" t="n">
        <v>2</v>
      </c>
      <c r="B327" s="56" t="s">
        <v>880</v>
      </c>
      <c r="C327" s="83" t="s">
        <v>934</v>
      </c>
      <c r="D327" s="56" t="s">
        <v>678</v>
      </c>
      <c r="E327" s="61" t="s">
        <v>925</v>
      </c>
      <c r="F327" s="61" t="s">
        <v>618</v>
      </c>
      <c r="G327" s="83" t="s">
        <v>943</v>
      </c>
    </row>
    <row r="328" customFormat="false" ht="48" hidden="false" customHeight="true" outlineLevel="0" collapsed="false">
      <c r="A328" s="83" t="n">
        <v>3</v>
      </c>
      <c r="B328" s="61" t="s">
        <v>881</v>
      </c>
      <c r="C328" s="83" t="s">
        <v>934</v>
      </c>
      <c r="D328" s="56" t="s">
        <v>672</v>
      </c>
      <c r="E328" s="61" t="s">
        <v>1046</v>
      </c>
      <c r="F328" s="61" t="s">
        <v>879</v>
      </c>
      <c r="G328" s="83" t="s">
        <v>943</v>
      </c>
    </row>
    <row r="329" customFormat="false" ht="48" hidden="false" customHeight="true" outlineLevel="0" collapsed="false">
      <c r="A329" s="83" t="n">
        <v>4</v>
      </c>
      <c r="B329" s="56" t="s">
        <v>882</v>
      </c>
      <c r="C329" s="83" t="s">
        <v>934</v>
      </c>
      <c r="D329" s="56" t="s">
        <v>636</v>
      </c>
      <c r="E329" s="61" t="s">
        <v>1046</v>
      </c>
      <c r="F329" s="61" t="s">
        <v>879</v>
      </c>
      <c r="G329" s="83" t="s">
        <v>943</v>
      </c>
    </row>
    <row r="330" customFormat="false" ht="109.5" hidden="false" customHeight="true" outlineLevel="0" collapsed="false">
      <c r="A330" s="84" t="s">
        <v>904</v>
      </c>
      <c r="B330" s="84"/>
      <c r="C330" s="85" t="s">
        <v>1047</v>
      </c>
      <c r="D330" s="85"/>
      <c r="E330" s="85"/>
      <c r="F330" s="85"/>
      <c r="G330" s="85"/>
    </row>
    <row r="331" customFormat="false" ht="19.5" hidden="false" customHeight="true" outlineLevel="0" collapsed="false">
      <c r="A331" s="87" t="s">
        <v>906</v>
      </c>
      <c r="B331" s="87"/>
      <c r="C331" s="87" t="s">
        <v>930</v>
      </c>
      <c r="D331" s="87"/>
      <c r="E331" s="87"/>
      <c r="F331" s="87"/>
      <c r="G331" s="87" t="s">
        <v>931</v>
      </c>
    </row>
  </sheetData>
  <mergeCells count="206">
    <mergeCell ref="A1:H1"/>
    <mergeCell ref="A2:H2"/>
    <mergeCell ref="A4:G4"/>
    <mergeCell ref="A5:G5"/>
    <mergeCell ref="A10:B10"/>
    <mergeCell ref="C10:G10"/>
    <mergeCell ref="A11:B11"/>
    <mergeCell ref="C11:F11"/>
    <mergeCell ref="A13:G13"/>
    <mergeCell ref="A14:G14"/>
    <mergeCell ref="A25:B25"/>
    <mergeCell ref="C25:G25"/>
    <mergeCell ref="A26:B26"/>
    <mergeCell ref="C26:F26"/>
    <mergeCell ref="A28:G28"/>
    <mergeCell ref="A29:G29"/>
    <mergeCell ref="A43:B43"/>
    <mergeCell ref="C43:G43"/>
    <mergeCell ref="A44:B44"/>
    <mergeCell ref="C44:F44"/>
    <mergeCell ref="A46:G46"/>
    <mergeCell ref="A47:G47"/>
    <mergeCell ref="A53:B53"/>
    <mergeCell ref="C53:G53"/>
    <mergeCell ref="A54:B54"/>
    <mergeCell ref="C54:F54"/>
    <mergeCell ref="A56:G56"/>
    <mergeCell ref="A57:G57"/>
    <mergeCell ref="A60:B60"/>
    <mergeCell ref="C60:G60"/>
    <mergeCell ref="A61:B61"/>
    <mergeCell ref="C61:F61"/>
    <mergeCell ref="A63:G63"/>
    <mergeCell ref="A64:G64"/>
    <mergeCell ref="A71:B71"/>
    <mergeCell ref="C71:G71"/>
    <mergeCell ref="A72:B72"/>
    <mergeCell ref="C72:F72"/>
    <mergeCell ref="A74:G74"/>
    <mergeCell ref="A75:G75"/>
    <mergeCell ref="A80:B80"/>
    <mergeCell ref="C80:G80"/>
    <mergeCell ref="A81:B81"/>
    <mergeCell ref="C81:F81"/>
    <mergeCell ref="A83:G83"/>
    <mergeCell ref="A84:G84"/>
    <mergeCell ref="A87:B87"/>
    <mergeCell ref="C87:G87"/>
    <mergeCell ref="A88:B88"/>
    <mergeCell ref="C88:F88"/>
    <mergeCell ref="A90:G90"/>
    <mergeCell ref="A91:G91"/>
    <mergeCell ref="A96:B96"/>
    <mergeCell ref="C96:G96"/>
    <mergeCell ref="A97:B97"/>
    <mergeCell ref="C97:F97"/>
    <mergeCell ref="A99:G99"/>
    <mergeCell ref="A100:G100"/>
    <mergeCell ref="A103:B103"/>
    <mergeCell ref="C103:G103"/>
    <mergeCell ref="A104:B104"/>
    <mergeCell ref="C104:F104"/>
    <mergeCell ref="A106:G106"/>
    <mergeCell ref="A107:G107"/>
    <mergeCell ref="A110:B110"/>
    <mergeCell ref="C110:G110"/>
    <mergeCell ref="A111:B111"/>
    <mergeCell ref="C111:F111"/>
    <mergeCell ref="A113:G113"/>
    <mergeCell ref="A114:G114"/>
    <mergeCell ref="A118:B118"/>
    <mergeCell ref="C118:G118"/>
    <mergeCell ref="A119:B119"/>
    <mergeCell ref="C119:F119"/>
    <mergeCell ref="A121:G121"/>
    <mergeCell ref="A122:G122"/>
    <mergeCell ref="A127:B127"/>
    <mergeCell ref="C127:G127"/>
    <mergeCell ref="A128:B128"/>
    <mergeCell ref="C128:F128"/>
    <mergeCell ref="A130:G130"/>
    <mergeCell ref="A131:G131"/>
    <mergeCell ref="A135:B135"/>
    <mergeCell ref="C135:G135"/>
    <mergeCell ref="A136:B136"/>
    <mergeCell ref="C136:F136"/>
    <mergeCell ref="A138:G138"/>
    <mergeCell ref="A139:G139"/>
    <mergeCell ref="A143:B143"/>
    <mergeCell ref="C143:G143"/>
    <mergeCell ref="A144:B144"/>
    <mergeCell ref="C144:F144"/>
    <mergeCell ref="A146:G146"/>
    <mergeCell ref="A147:G147"/>
    <mergeCell ref="A151:B151"/>
    <mergeCell ref="C151:G151"/>
    <mergeCell ref="A152:B152"/>
    <mergeCell ref="C152:F152"/>
    <mergeCell ref="A154:G154"/>
    <mergeCell ref="A155:G155"/>
    <mergeCell ref="A159:B159"/>
    <mergeCell ref="C159:G159"/>
    <mergeCell ref="A160:B160"/>
    <mergeCell ref="C160:F160"/>
    <mergeCell ref="A162:G162"/>
    <mergeCell ref="A163:G163"/>
    <mergeCell ref="A167:B167"/>
    <mergeCell ref="C167:G167"/>
    <mergeCell ref="A168:B168"/>
    <mergeCell ref="C168:F168"/>
    <mergeCell ref="A170:G170"/>
    <mergeCell ref="A171:G171"/>
    <mergeCell ref="A175:B175"/>
    <mergeCell ref="C175:G175"/>
    <mergeCell ref="A176:B176"/>
    <mergeCell ref="C176:F176"/>
    <mergeCell ref="A178:G178"/>
    <mergeCell ref="A179:G179"/>
    <mergeCell ref="A185:B185"/>
    <mergeCell ref="C185:G185"/>
    <mergeCell ref="A186:B186"/>
    <mergeCell ref="C186:F186"/>
    <mergeCell ref="A188:G188"/>
    <mergeCell ref="A189:G189"/>
    <mergeCell ref="A193:B193"/>
    <mergeCell ref="C193:G193"/>
    <mergeCell ref="A194:B194"/>
    <mergeCell ref="C194:F194"/>
    <mergeCell ref="A196:G196"/>
    <mergeCell ref="A197:G197"/>
    <mergeCell ref="A201:B201"/>
    <mergeCell ref="C201:G201"/>
    <mergeCell ref="A202:B202"/>
    <mergeCell ref="C202:F202"/>
    <mergeCell ref="A204:G204"/>
    <mergeCell ref="A205:G205"/>
    <mergeCell ref="A209:B209"/>
    <mergeCell ref="C209:G209"/>
    <mergeCell ref="A210:B210"/>
    <mergeCell ref="C210:F210"/>
    <mergeCell ref="A212:G212"/>
    <mergeCell ref="A213:G213"/>
    <mergeCell ref="A216:B216"/>
    <mergeCell ref="C216:G216"/>
    <mergeCell ref="A217:B217"/>
    <mergeCell ref="C217:F217"/>
    <mergeCell ref="A219:G219"/>
    <mergeCell ref="A220:G220"/>
    <mergeCell ref="A226:B226"/>
    <mergeCell ref="C226:G226"/>
    <mergeCell ref="A227:B227"/>
    <mergeCell ref="C227:F227"/>
    <mergeCell ref="A229:G229"/>
    <mergeCell ref="A230:G230"/>
    <mergeCell ref="A236:B236"/>
    <mergeCell ref="C236:G236"/>
    <mergeCell ref="A237:B237"/>
    <mergeCell ref="C237:F237"/>
    <mergeCell ref="A239:G239"/>
    <mergeCell ref="A240:G240"/>
    <mergeCell ref="A246:B246"/>
    <mergeCell ref="C246:G246"/>
    <mergeCell ref="A247:B247"/>
    <mergeCell ref="C247:F247"/>
    <mergeCell ref="A249:G249"/>
    <mergeCell ref="A250:G250"/>
    <mergeCell ref="A259:B259"/>
    <mergeCell ref="C259:G259"/>
    <mergeCell ref="A260:B260"/>
    <mergeCell ref="C260:F260"/>
    <mergeCell ref="A262:G262"/>
    <mergeCell ref="A263:G263"/>
    <mergeCell ref="A272:B272"/>
    <mergeCell ref="C272:G272"/>
    <mergeCell ref="A273:B273"/>
    <mergeCell ref="C273:F273"/>
    <mergeCell ref="A275:G275"/>
    <mergeCell ref="A276:G276"/>
    <mergeCell ref="A286:B286"/>
    <mergeCell ref="C286:G286"/>
    <mergeCell ref="A287:B287"/>
    <mergeCell ref="C287:F287"/>
    <mergeCell ref="A289:G289"/>
    <mergeCell ref="A290:G290"/>
    <mergeCell ref="A299:B299"/>
    <mergeCell ref="C299:G299"/>
    <mergeCell ref="A300:B300"/>
    <mergeCell ref="C300:F300"/>
    <mergeCell ref="A302:G302"/>
    <mergeCell ref="A303:G303"/>
    <mergeCell ref="A310:B310"/>
    <mergeCell ref="C310:G310"/>
    <mergeCell ref="A311:B311"/>
    <mergeCell ref="C311:F311"/>
    <mergeCell ref="A313:G313"/>
    <mergeCell ref="A314:G314"/>
    <mergeCell ref="A320:B320"/>
    <mergeCell ref="C320:G320"/>
    <mergeCell ref="A321:B321"/>
    <mergeCell ref="C321:F321"/>
    <mergeCell ref="A323:G323"/>
    <mergeCell ref="A324:G324"/>
    <mergeCell ref="A330:B330"/>
    <mergeCell ref="C330:G330"/>
    <mergeCell ref="A331:B331"/>
    <mergeCell ref="C331:F3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2026-09-05T12:29:14Z</dcterms:created>
  <dc:creator>openpyxl</dc:creator>
  <dc:description/>
  <dc:language>en-US</dc:language>
  <cp:lastModifiedBy/>
  <dcterms:modified xsi:type="dcterms:W3CDTF">2026-09-05T12:29:30Z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